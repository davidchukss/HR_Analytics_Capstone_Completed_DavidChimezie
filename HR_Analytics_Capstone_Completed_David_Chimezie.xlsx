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esktop\Excel Projects\"/>
    </mc:Choice>
  </mc:AlternateContent>
  <xr:revisionPtr revIDLastSave="0" documentId="13_ncr:1_{8CEE5EAB-D95C-48C7-A3F3-021D318CE9B3}" xr6:coauthVersionLast="47" xr6:coauthVersionMax="47" xr10:uidLastSave="{00000000-0000-0000-0000-000000000000}"/>
  <bookViews>
    <workbookView xWindow="-110" yWindow="-110" windowWidth="19420" windowHeight="10420" xr2:uid="{00000000-000D-0000-FFFF-FFFF00000000}"/>
  </bookViews>
  <sheets>
    <sheet name="Raw_Employee_Data" sheetId="1" r:id="rId1"/>
    <sheet name="Lookup_Departments" sheetId="2" r:id="rId2"/>
    <sheet name="Lookup_Performance" sheetId="3" r:id="rId3"/>
    <sheet name="Analysis1" sheetId="6" r:id="rId4"/>
    <sheet name="HR Dashboard" sheetId="7" r:id="rId5"/>
  </sheets>
  <definedNames>
    <definedName name="activeemp">Analysis1!$I$22</definedName>
    <definedName name="attriterate">Analysis1!$I$21</definedName>
    <definedName name="attritionrate">Table3[[#Totals],[Attrition Rate]]</definedName>
    <definedName name="Avgsalary">Analysis1!$I$27</definedName>
    <definedName name="avgscore">Analysis1!$I$28</definedName>
    <definedName name="Deptnum">Analysis1!$I$20</definedName>
    <definedName name="leftemp">Analysis1!$I$23</definedName>
    <definedName name="resignemp">Analysis1!$I$24</definedName>
    <definedName name="Slicer_Clean_Employment_Status">#N/A</definedName>
    <definedName name="Slicer_Departmental_Name">#N/A</definedName>
    <definedName name="sumbonus">Analysis1!$I$29</definedName>
    <definedName name="Totalemp">Analysis1!$I$25</definedName>
    <definedName name="Totalsalary">Analysis1!$I$26</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0" i="6" l="1"/>
  <c r="I24" i="6"/>
  <c r="I23" i="6"/>
  <c r="I22" i="6"/>
  <c r="I38" i="6"/>
  <c r="K38" i="6" s="1"/>
  <c r="I37" i="6"/>
  <c r="K37" i="6" s="1"/>
  <c r="I36" i="6"/>
  <c r="K36" i="6" s="1"/>
  <c r="I35" i="6"/>
  <c r="K35" i="6" s="1"/>
  <c r="I34" i="6"/>
  <c r="K34" i="6" s="1"/>
  <c r="I33" i="6"/>
  <c r="K33" i="6" s="1"/>
  <c r="I29" i="6"/>
  <c r="I28" i="6"/>
  <c r="I27" i="6"/>
  <c r="I26" i="6"/>
  <c r="I25" i="6"/>
  <c r="F18" i="6"/>
  <c r="F19" i="6"/>
  <c r="F20" i="6"/>
  <c r="F21" i="6"/>
  <c r="F22" i="6"/>
  <c r="F17" i="6"/>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2" i="1"/>
  <c r="J154" i="1"/>
  <c r="I154"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 r="H3" i="1"/>
  <c r="M3" i="1" s="1"/>
  <c r="H4" i="1"/>
  <c r="M4" i="1" s="1"/>
  <c r="H5" i="1"/>
  <c r="M5" i="1" s="1"/>
  <c r="H6" i="1"/>
  <c r="M6" i="1" s="1"/>
  <c r="H7" i="1"/>
  <c r="M7" i="1" s="1"/>
  <c r="H8" i="1"/>
  <c r="M8" i="1" s="1"/>
  <c r="H9" i="1"/>
  <c r="M9" i="1" s="1"/>
  <c r="H10" i="1"/>
  <c r="M10" i="1" s="1"/>
  <c r="H11" i="1"/>
  <c r="M11" i="1" s="1"/>
  <c r="H12" i="1"/>
  <c r="M12" i="1" s="1"/>
  <c r="H13" i="1"/>
  <c r="M13" i="1" s="1"/>
  <c r="H14" i="1"/>
  <c r="M14" i="1" s="1"/>
  <c r="H15" i="1"/>
  <c r="M15" i="1" s="1"/>
  <c r="H16" i="1"/>
  <c r="M16" i="1" s="1"/>
  <c r="H17" i="1"/>
  <c r="M17" i="1" s="1"/>
  <c r="H18" i="1"/>
  <c r="M18" i="1" s="1"/>
  <c r="H19" i="1"/>
  <c r="M19" i="1" s="1"/>
  <c r="H20" i="1"/>
  <c r="M20" i="1" s="1"/>
  <c r="H21" i="1"/>
  <c r="M21" i="1" s="1"/>
  <c r="H22" i="1"/>
  <c r="M22" i="1" s="1"/>
  <c r="H23" i="1"/>
  <c r="M23" i="1" s="1"/>
  <c r="H24" i="1"/>
  <c r="M24" i="1" s="1"/>
  <c r="H25" i="1"/>
  <c r="M25" i="1" s="1"/>
  <c r="H26" i="1"/>
  <c r="M26" i="1" s="1"/>
  <c r="H27" i="1"/>
  <c r="M27" i="1" s="1"/>
  <c r="H28" i="1"/>
  <c r="M28" i="1" s="1"/>
  <c r="H29" i="1"/>
  <c r="M29" i="1" s="1"/>
  <c r="H30" i="1"/>
  <c r="M30" i="1" s="1"/>
  <c r="H31" i="1"/>
  <c r="M31" i="1" s="1"/>
  <c r="H32" i="1"/>
  <c r="M32" i="1" s="1"/>
  <c r="H33" i="1"/>
  <c r="M33" i="1" s="1"/>
  <c r="H34" i="1"/>
  <c r="M34" i="1" s="1"/>
  <c r="H35" i="1"/>
  <c r="M35" i="1" s="1"/>
  <c r="H36" i="1"/>
  <c r="M36" i="1" s="1"/>
  <c r="H37" i="1"/>
  <c r="M37" i="1" s="1"/>
  <c r="H38" i="1"/>
  <c r="M38" i="1" s="1"/>
  <c r="H39" i="1"/>
  <c r="M39" i="1" s="1"/>
  <c r="H40" i="1"/>
  <c r="M40" i="1" s="1"/>
  <c r="H41" i="1"/>
  <c r="M41" i="1" s="1"/>
  <c r="H42" i="1"/>
  <c r="M42" i="1" s="1"/>
  <c r="H43" i="1"/>
  <c r="M43" i="1" s="1"/>
  <c r="H44" i="1"/>
  <c r="M44" i="1" s="1"/>
  <c r="H45" i="1"/>
  <c r="M45" i="1" s="1"/>
  <c r="H46" i="1"/>
  <c r="M46" i="1" s="1"/>
  <c r="H47" i="1"/>
  <c r="M47" i="1" s="1"/>
  <c r="H48" i="1"/>
  <c r="M48" i="1" s="1"/>
  <c r="H49" i="1"/>
  <c r="M49" i="1" s="1"/>
  <c r="H50" i="1"/>
  <c r="M50" i="1" s="1"/>
  <c r="H51" i="1"/>
  <c r="M51" i="1" s="1"/>
  <c r="H52" i="1"/>
  <c r="M52" i="1" s="1"/>
  <c r="H53" i="1"/>
  <c r="M53" i="1" s="1"/>
  <c r="H54" i="1"/>
  <c r="M54" i="1" s="1"/>
  <c r="H55" i="1"/>
  <c r="M55" i="1" s="1"/>
  <c r="H56" i="1"/>
  <c r="M56" i="1" s="1"/>
  <c r="H57" i="1"/>
  <c r="M57" i="1" s="1"/>
  <c r="H58" i="1"/>
  <c r="M58" i="1" s="1"/>
  <c r="H59" i="1"/>
  <c r="M59" i="1" s="1"/>
  <c r="H60" i="1"/>
  <c r="M60" i="1" s="1"/>
  <c r="H61" i="1"/>
  <c r="M61" i="1" s="1"/>
  <c r="H62" i="1"/>
  <c r="M62" i="1" s="1"/>
  <c r="H63" i="1"/>
  <c r="M63" i="1" s="1"/>
  <c r="H64" i="1"/>
  <c r="M64" i="1" s="1"/>
  <c r="H65" i="1"/>
  <c r="M65" i="1" s="1"/>
  <c r="H66" i="1"/>
  <c r="M66" i="1" s="1"/>
  <c r="H67" i="1"/>
  <c r="M67" i="1" s="1"/>
  <c r="H68" i="1"/>
  <c r="M68" i="1" s="1"/>
  <c r="H69" i="1"/>
  <c r="M69" i="1" s="1"/>
  <c r="H70" i="1"/>
  <c r="M70" i="1" s="1"/>
  <c r="H71" i="1"/>
  <c r="M71" i="1" s="1"/>
  <c r="H72" i="1"/>
  <c r="M72" i="1" s="1"/>
  <c r="H73" i="1"/>
  <c r="M73" i="1" s="1"/>
  <c r="H74" i="1"/>
  <c r="M74" i="1" s="1"/>
  <c r="H75" i="1"/>
  <c r="M75" i="1" s="1"/>
  <c r="H76" i="1"/>
  <c r="M76" i="1" s="1"/>
  <c r="H77" i="1"/>
  <c r="M77" i="1" s="1"/>
  <c r="H78" i="1"/>
  <c r="M78" i="1" s="1"/>
  <c r="H79" i="1"/>
  <c r="M79" i="1" s="1"/>
  <c r="H80" i="1"/>
  <c r="M80" i="1" s="1"/>
  <c r="H81" i="1"/>
  <c r="M81" i="1" s="1"/>
  <c r="H82" i="1"/>
  <c r="M82" i="1" s="1"/>
  <c r="H83" i="1"/>
  <c r="M83" i="1" s="1"/>
  <c r="H84" i="1"/>
  <c r="M84" i="1" s="1"/>
  <c r="H85" i="1"/>
  <c r="M85" i="1" s="1"/>
  <c r="H86" i="1"/>
  <c r="M86" i="1" s="1"/>
  <c r="H87" i="1"/>
  <c r="M87" i="1" s="1"/>
  <c r="H88" i="1"/>
  <c r="M88" i="1" s="1"/>
  <c r="H89" i="1"/>
  <c r="M89" i="1" s="1"/>
  <c r="H90" i="1"/>
  <c r="M90" i="1" s="1"/>
  <c r="H91" i="1"/>
  <c r="M91" i="1" s="1"/>
  <c r="H92" i="1"/>
  <c r="M92" i="1" s="1"/>
  <c r="H93" i="1"/>
  <c r="M93" i="1" s="1"/>
  <c r="H94" i="1"/>
  <c r="M94" i="1" s="1"/>
  <c r="H95" i="1"/>
  <c r="M95" i="1" s="1"/>
  <c r="H96" i="1"/>
  <c r="M96" i="1" s="1"/>
  <c r="H97" i="1"/>
  <c r="M97" i="1" s="1"/>
  <c r="H98" i="1"/>
  <c r="M98" i="1" s="1"/>
  <c r="H99" i="1"/>
  <c r="M99" i="1" s="1"/>
  <c r="H100" i="1"/>
  <c r="M100" i="1" s="1"/>
  <c r="H101" i="1"/>
  <c r="M101" i="1" s="1"/>
  <c r="H102" i="1"/>
  <c r="M102" i="1" s="1"/>
  <c r="H103" i="1"/>
  <c r="M103" i="1" s="1"/>
  <c r="H104" i="1"/>
  <c r="M104" i="1" s="1"/>
  <c r="H105" i="1"/>
  <c r="M105" i="1" s="1"/>
  <c r="H106" i="1"/>
  <c r="M106" i="1" s="1"/>
  <c r="H107" i="1"/>
  <c r="M107" i="1" s="1"/>
  <c r="H108" i="1"/>
  <c r="M108" i="1" s="1"/>
  <c r="H109" i="1"/>
  <c r="M109" i="1" s="1"/>
  <c r="H110" i="1"/>
  <c r="M110" i="1" s="1"/>
  <c r="H111" i="1"/>
  <c r="M111" i="1" s="1"/>
  <c r="H112" i="1"/>
  <c r="M112" i="1" s="1"/>
  <c r="H113" i="1"/>
  <c r="M113" i="1" s="1"/>
  <c r="H114" i="1"/>
  <c r="M114" i="1" s="1"/>
  <c r="H115" i="1"/>
  <c r="M115" i="1" s="1"/>
  <c r="H116" i="1"/>
  <c r="M116" i="1" s="1"/>
  <c r="H117" i="1"/>
  <c r="M117" i="1" s="1"/>
  <c r="H118" i="1"/>
  <c r="M118" i="1" s="1"/>
  <c r="H119" i="1"/>
  <c r="M119" i="1" s="1"/>
  <c r="H120" i="1"/>
  <c r="M120" i="1" s="1"/>
  <c r="H121" i="1"/>
  <c r="M121" i="1" s="1"/>
  <c r="H122" i="1"/>
  <c r="M122" i="1" s="1"/>
  <c r="H123" i="1"/>
  <c r="M123" i="1" s="1"/>
  <c r="H124" i="1"/>
  <c r="M124" i="1" s="1"/>
  <c r="H125" i="1"/>
  <c r="M125" i="1" s="1"/>
  <c r="H126" i="1"/>
  <c r="M126" i="1" s="1"/>
  <c r="H127" i="1"/>
  <c r="M127" i="1" s="1"/>
  <c r="H128" i="1"/>
  <c r="M128" i="1" s="1"/>
  <c r="H129" i="1"/>
  <c r="M129" i="1" s="1"/>
  <c r="H130" i="1"/>
  <c r="M130" i="1" s="1"/>
  <c r="H131" i="1"/>
  <c r="M131" i="1" s="1"/>
  <c r="H132" i="1"/>
  <c r="M132" i="1" s="1"/>
  <c r="H133" i="1"/>
  <c r="M133" i="1" s="1"/>
  <c r="H134" i="1"/>
  <c r="M134" i="1" s="1"/>
  <c r="H135" i="1"/>
  <c r="M135" i="1" s="1"/>
  <c r="H136" i="1"/>
  <c r="M136" i="1" s="1"/>
  <c r="H137" i="1"/>
  <c r="M137" i="1" s="1"/>
  <c r="H138" i="1"/>
  <c r="M138" i="1" s="1"/>
  <c r="H139" i="1"/>
  <c r="M139" i="1" s="1"/>
  <c r="H140" i="1"/>
  <c r="M140" i="1" s="1"/>
  <c r="H141" i="1"/>
  <c r="M141" i="1" s="1"/>
  <c r="H142" i="1"/>
  <c r="M142" i="1" s="1"/>
  <c r="H143" i="1"/>
  <c r="M143" i="1" s="1"/>
  <c r="H144" i="1"/>
  <c r="M144" i="1" s="1"/>
  <c r="H145" i="1"/>
  <c r="M145" i="1" s="1"/>
  <c r="H146" i="1"/>
  <c r="M146" i="1" s="1"/>
  <c r="H147" i="1"/>
  <c r="M147" i="1" s="1"/>
  <c r="H148" i="1"/>
  <c r="M148" i="1" s="1"/>
  <c r="H149" i="1"/>
  <c r="M149" i="1" s="1"/>
  <c r="H150" i="1"/>
  <c r="M150" i="1" s="1"/>
  <c r="H151" i="1"/>
  <c r="M151" i="1" s="1"/>
  <c r="H2" i="1"/>
  <c r="M2" i="1" s="1"/>
  <c r="K39" i="6" l="1"/>
  <c r="I21" i="6" s="1"/>
  <c r="F23" i="6"/>
</calcChain>
</file>

<file path=xl/sharedStrings.xml><?xml version="1.0" encoding="utf-8"?>
<sst xmlns="http://schemas.openxmlformats.org/spreadsheetml/2006/main" count="930" uniqueCount="293">
  <si>
    <t>Emp ID</t>
  </si>
  <si>
    <t>First_Name</t>
  </si>
  <si>
    <t>Last_Name</t>
  </si>
  <si>
    <t>Dept Code</t>
  </si>
  <si>
    <t>Hire Date</t>
  </si>
  <si>
    <t>Salary</t>
  </si>
  <si>
    <t>Perf_Score</t>
  </si>
  <si>
    <t>Employment Status</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</si>
  <si>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</si>
  <si>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</si>
  <si>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</si>
  <si>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</si>
  <si>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</si>
  <si>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</si>
  <si>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</si>
  <si>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</si>
  <si>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</si>
  <si>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</si>
  <si>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</si>
  <si>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</si>
  <si>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</si>
  <si>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</si>
  <si>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</si>
  <si>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</si>
  <si>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</si>
  <si>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</si>
  <si>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</si>
  <si>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</si>
  <si>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</si>
  <si>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</si>
  <si>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</si>
  <si>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</si>
  <si>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</si>
  <si>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</si>
  <si>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</si>
  <si>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</si>
  <si>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</si>
  <si>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</si>
  <si>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</si>
  <si>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</si>
  <si>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</si>
  <si>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</si>
  <si>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</si>
  <si>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</si>
  <si>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</si>
  <si>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</si>
  <si>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</si>
  <si>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</si>
  <si>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</si>
  <si>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</si>
  <si>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</si>
  <si>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</si>
  <si>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</si>
  <si>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</si>
  <si>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</si>
  <si>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</si>
  <si>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</si>
  <si>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</si>
  <si>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</si>
  <si>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</si>
  <si>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</si>
  <si>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</si>
  <si>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</si>
  <si>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</si>
  <si>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</si>
  <si>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</si>
  <si>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09/24/2019</t>
  </si>
  <si>
    <t>EMP146</t>
  </si>
  <si>
    <t>EMP099</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</si>
  <si>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</si>
  <si>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</si>
  <si>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</si>
  <si>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</si>
  <si>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</si>
  <si>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</si>
  <si>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</si>
  <si>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</si>
  <si>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</si>
  <si>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</si>
  <si>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</si>
  <si>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</si>
  <si>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</si>
  <si>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</si>
  <si>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</si>
  <si>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</si>
  <si>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</si>
  <si>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</si>
  <si>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</si>
  <si>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</si>
  <si>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EMP027</t>
  </si>
  <si>
    <t>09/09/2017</t>
  </si>
  <si>
    <t>EMP136</t>
  </si>
  <si>
    <t>EMP079</t>
  </si>
  <si>
    <t>David</t>
  </si>
  <si>
    <t>EMP149</t>
  </si>
  <si>
    <t>Resigned</t>
  </si>
  <si>
    <t>EMP037</t>
  </si>
  <si>
    <t>EMP077</t>
  </si>
  <si>
    <t>07/14/2016</t>
  </si>
  <si>
    <t>EMP023</t>
  </si>
  <si>
    <t>EMP133</t>
  </si>
  <si>
    <t>10-Jul-19</t>
  </si>
  <si>
    <t>EMP141</t>
  </si>
  <si>
    <t>EMP012</t>
  </si>
  <si>
    <t>EMP080</t>
  </si>
  <si>
    <t>EMP069</t>
  </si>
  <si>
    <t>EMP150</t>
  </si>
  <si>
    <t>EMP028</t>
  </si>
  <si>
    <t>10/07/2019</t>
  </si>
  <si>
    <t>EMP087</t>
  </si>
  <si>
    <t>EMP119</t>
  </si>
  <si>
    <t>Garcia</t>
  </si>
  <si>
    <t>EMP042</t>
  </si>
  <si>
    <t>Anderson</t>
  </si>
  <si>
    <t>EMP005</t>
  </si>
  <si>
    <t>EMP033</t>
  </si>
  <si>
    <t>02/07/2018</t>
  </si>
  <si>
    <t>EMP061</t>
  </si>
  <si>
    <t>EMP102</t>
  </si>
  <si>
    <t>EMP067</t>
  </si>
  <si>
    <t>EMP017</t>
  </si>
  <si>
    <t>EMP123</t>
  </si>
  <si>
    <t>EMP011</t>
  </si>
  <si>
    <t>EMP091</t>
  </si>
  <si>
    <t>EMP145</t>
  </si>
  <si>
    <t>11/11/2016</t>
  </si>
  <si>
    <t>EMP001</t>
  </si>
  <si>
    <t>24-Mar-17</t>
  </si>
  <si>
    <t>EMP113</t>
  </si>
  <si>
    <t>05-May-19</t>
  </si>
  <si>
    <t>EMP065</t>
  </si>
  <si>
    <t>EMP045</t>
  </si>
  <si>
    <t>EMP083</t>
  </si>
  <si>
    <t>William</t>
  </si>
  <si>
    <t>EMP029</t>
  </si>
  <si>
    <t>EMP041</t>
  </si>
  <si>
    <t>EMP026</t>
  </si>
  <si>
    <t>EMP024</t>
  </si>
  <si>
    <t>11-Oct-16</t>
  </si>
  <si>
    <t>EMP111</t>
  </si>
  <si>
    <t>EMP040</t>
  </si>
  <si>
    <t>02/19/2017</t>
  </si>
  <si>
    <t>EMP086</t>
  </si>
  <si>
    <t>09/07/2021</t>
  </si>
  <si>
    <t>EMP124</t>
  </si>
  <si>
    <t>EMP132</t>
  </si>
  <si>
    <t>EMP048</t>
  </si>
  <si>
    <t>09/29/2018</t>
  </si>
  <si>
    <t>EMP114</t>
  </si>
  <si>
    <t>EMP062</t>
  </si>
  <si>
    <t>EMP074</t>
  </si>
  <si>
    <t>07-Feb-21</t>
  </si>
  <si>
    <t>EMP034</t>
  </si>
  <si>
    <t>10/04/2023</t>
  </si>
  <si>
    <t>EMP105</t>
  </si>
  <si>
    <t>EMP118</t>
  </si>
  <si>
    <t>EMP063</t>
  </si>
  <si>
    <t>27-Nov-19</t>
  </si>
  <si>
    <t>EMP094</t>
  </si>
  <si>
    <t>25-May-17</t>
  </si>
  <si>
    <t>EMP097</t>
  </si>
  <si>
    <t>EMP054</t>
  </si>
  <si>
    <t>EMP006</t>
  </si>
  <si>
    <t>EMP110</t>
  </si>
  <si>
    <t>EMP147</t>
  </si>
  <si>
    <t>EMP050</t>
  </si>
  <si>
    <t>EMP036</t>
  </si>
  <si>
    <t>EMP081</t>
  </si>
  <si>
    <t>EMP078</t>
  </si>
  <si>
    <t>EMP035</t>
  </si>
  <si>
    <t>03/08/2019</t>
  </si>
  <si>
    <t>EMP047</t>
  </si>
  <si>
    <t>11-Mar-15</t>
  </si>
  <si>
    <t>EMP008</t>
  </si>
  <si>
    <t>19-Feb-17</t>
  </si>
  <si>
    <t>EMP044</t>
  </si>
  <si>
    <t>EMP071</t>
  </si>
  <si>
    <t>EMP115</t>
  </si>
  <si>
    <t>EMP092</t>
  </si>
  <si>
    <t>05/22/2016</t>
  </si>
  <si>
    <t>EMP084</t>
  </si>
  <si>
    <t>EMP142</t>
  </si>
  <si>
    <t>EMP143</t>
  </si>
  <si>
    <t>13-Nov-16</t>
  </si>
  <si>
    <t>EMP090</t>
  </si>
  <si>
    <t>EMP009</t>
  </si>
  <si>
    <t>EMP014</t>
  </si>
  <si>
    <t>13-Aug-21</t>
  </si>
  <si>
    <t>EMP060</t>
  </si>
  <si>
    <t>EMP135</t>
  </si>
  <si>
    <t>05-Jul-22</t>
  </si>
  <si>
    <t>EMP004</t>
  </si>
  <si>
    <t>07/10/2016</t>
  </si>
  <si>
    <t>EMP018</t>
  </si>
  <si>
    <t>EMP039</t>
  </si>
  <si>
    <t>05/10/2017</t>
  </si>
  <si>
    <t>EMP073</t>
  </si>
  <si>
    <t>EMP138</t>
  </si>
  <si>
    <t>04/20/2023</t>
  </si>
  <si>
    <t>EMP007</t>
  </si>
  <si>
    <t>EMP144</t>
  </si>
  <si>
    <t>24-Oct-21</t>
  </si>
  <si>
    <t>EMP101</t>
  </si>
  <si>
    <t>EMP003</t>
  </si>
  <si>
    <t>EMP121</t>
  </si>
  <si>
    <t>10-Aug-20</t>
  </si>
  <si>
    <t>EMP064</t>
  </si>
  <si>
    <t>EMP116</t>
  </si>
  <si>
    <t>24-Mar-18</t>
  </si>
  <si>
    <t>EMP055</t>
  </si>
  <si>
    <t>EMP108</t>
  </si>
  <si>
    <t>EMP051</t>
  </si>
  <si>
    <t>04-Mar-16</t>
  </si>
  <si>
    <t>EMP059</t>
  </si>
  <si>
    <t>EMP049</t>
  </si>
  <si>
    <t>28-Jul-17</t>
  </si>
  <si>
    <t>EMP089</t>
  </si>
  <si>
    <t>05/11/2023</t>
  </si>
  <si>
    <t>EMP022</t>
  </si>
  <si>
    <t>19-Mar-22</t>
  </si>
  <si>
    <t>EMP058</t>
  </si>
  <si>
    <t>EMP130</t>
  </si>
  <si>
    <t>08/29/2021</t>
  </si>
  <si>
    <t>EMP038</t>
  </si>
  <si>
    <t>EMP148</t>
  </si>
  <si>
    <t>EMP002</t>
  </si>
  <si>
    <t>03-Oct-17</t>
  </si>
  <si>
    <t>EMP053</t>
  </si>
  <si>
    <t>10/22/2015</t>
  </si>
  <si>
    <t>EMP131</t>
  </si>
  <si>
    <t>EMP104</t>
  </si>
  <si>
    <t>EMP100</t>
  </si>
  <si>
    <t>EMP117</t>
  </si>
  <si>
    <t>EMP088</t>
  </si>
  <si>
    <t>EMP075</t>
  </si>
  <si>
    <t>EMP122</t>
  </si>
  <si>
    <t>01/12/2019</t>
  </si>
  <si>
    <t>EMP021</t>
  </si>
  <si>
    <t>EMP072</t>
  </si>
  <si>
    <t>EMP107</t>
  </si>
  <si>
    <t>EMP093</t>
  </si>
  <si>
    <t>03-Nov-16</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</si>
  <si>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</si>
  <si>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</si>
  <si>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</si>
  <si>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</si>
  <si>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</si>
  <si>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</si>
  <si>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</si>
  <si>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</si>
  <si>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</si>
  <si>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</si>
  <si>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</si>
  <si>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</si>
  <si>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</si>
  <si>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</si>
  <si>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</si>
  <si>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</si>
  <si>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</si>
  <si>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</si>
  <si>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 xml:space="preserve"> Active </t>
  </si>
  <si>
    <t xml:space="preserve"> Left </t>
  </si>
  <si>
    <t>Clean Employment Status</t>
  </si>
  <si>
    <t>Clean Hire Date</t>
  </si>
  <si>
    <t>Full_Name</t>
  </si>
  <si>
    <t>Departmental Name</t>
  </si>
  <si>
    <t>Year of Service</t>
  </si>
  <si>
    <t>Performance Band</t>
  </si>
  <si>
    <t>Eligible Bonus Amount</t>
  </si>
  <si>
    <t>Row Labels</t>
  </si>
  <si>
    <t>Grand Total</t>
  </si>
  <si>
    <t>Sum of Salary</t>
  </si>
  <si>
    <t>Count of Emp ID</t>
  </si>
  <si>
    <t>Average of Salary</t>
  </si>
  <si>
    <t>Column Labels</t>
  </si>
  <si>
    <t>Attrition Rate</t>
  </si>
  <si>
    <t>Average of Perf_Score</t>
  </si>
  <si>
    <t>Sum of Eligible Bonus Amount</t>
  </si>
  <si>
    <t>Total Employees</t>
  </si>
  <si>
    <t>Total Salaries</t>
  </si>
  <si>
    <t>Average Salary</t>
  </si>
  <si>
    <t>Perf Score</t>
  </si>
  <si>
    <t>Total Bonus</t>
  </si>
  <si>
    <t>Departments</t>
  </si>
  <si>
    <t>Head Count and Average Salary by Department</t>
  </si>
  <si>
    <t>Attrition rate by Department</t>
  </si>
  <si>
    <t>Average Performance Score</t>
  </si>
  <si>
    <t>Bonus Payout by Performance</t>
  </si>
  <si>
    <t>Active Employees</t>
  </si>
  <si>
    <t>Left Employees</t>
  </si>
  <si>
    <t>Resigned Employess</t>
  </si>
  <si>
    <t>Total Exits</t>
  </si>
  <si>
    <t>Num of Dept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</si>
</sst>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gt;=1000000]&quot;$&quot;0.0,,&quot;m&quot;;[&gt;=1000]&quot;$&quot;0.0,&quot;k&quot;;&quot;$&quot;#,##0"/>
  </numFmts>
  <fonts count="6" x14ac:knownFonts="1">
    <font>
      <sz val="11"/>
      <color theme="1"/>
      <name val="Calibri"/>
      <family val="2"/>
      <scheme val="minor"/>
    </font>
    <font>
      <b/>
      <sz val="11"/>
      <name val="Calibri"/>
    </font>
    <font>
      <b/>
      <sz val="11"/>
      <color theme="1"/>
      <name val="Calibri"/>
      <family val="2"/>
      <scheme val="minor"/>
    </font>
    <font>
      <b/>
      <sz val="11"/>
      <name val="Calibri"/>
      <family val="2"/>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theme="0"/>
      </left>
      <right/>
      <top/>
      <bottom/>
      <diagonal/>
    </border>
    <border>
      <left/>
      <right/>
      <top style="thin">
        <color auto="1"/>
      </top>
      <bottom/>
      <diagonal/>
    </border>
    <border>
      <left style="thin">
        <color theme="0"/>
      </left>
      <right/>
      <top style="thin">
        <color auto="1"/>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1" xfId="0" applyFont="1" applyBorder="1" applyAlignment="1">
      <alignment horizontal="center" vertical="top"/>
    </xf>
    <xf numFmtId="49" fontId="0" fillId="0" borderId="0" xfId="0" applyNumberFormat="1"/>
    <xf numFmtId="14" fontId="0" fillId="0" borderId="0" xfId="0" applyNumberFormat="1"/>
    <xf numFmtId="164" fontId="0" fillId="0" borderId="0" xfId="0" applyNumberFormat="1"/>
    <xf numFmtId="0" fontId="2" fillId="0" borderId="0" xfId="0" applyFont="1"/>
    <xf numFmtId="1" fontId="0" fillId="0" borderId="0" xfId="0" applyNumberFormat="1"/>
    <xf numFmtId="0" fontId="0" fillId="0" borderId="0" xfId="0" pivotButton="1"/>
    <xf numFmtId="0" fontId="0" fillId="0" borderId="0" xfId="0" applyAlignment="1">
      <alignment horizontal="left"/>
    </xf>
    <xf numFmtId="0" fontId="3" fillId="3" borderId="2" xfId="0" applyFont="1" applyFill="1" applyBorder="1" applyAlignment="1">
      <alignment horizontal="center" vertical="top"/>
    </xf>
    <xf numFmtId="49" fontId="3" fillId="3" borderId="2" xfId="0" applyNumberFormat="1" applyFont="1" applyFill="1" applyBorder="1" applyAlignment="1">
      <alignment horizontal="center" vertical="top"/>
    </xf>
    <xf numFmtId="14" fontId="3" fillId="3" borderId="2" xfId="0" applyNumberFormat="1" applyFont="1" applyFill="1" applyBorder="1" applyAlignment="1">
      <alignment horizontal="center" vertical="top"/>
    </xf>
    <xf numFmtId="164" fontId="3" fillId="3" borderId="2" xfId="0" applyNumberFormat="1" applyFont="1" applyFill="1" applyBorder="1" applyAlignment="1">
      <alignment horizontal="center" vertical="top"/>
    </xf>
    <xf numFmtId="1" fontId="3" fillId="3" borderId="2" xfId="0" applyNumberFormat="1" applyFont="1" applyFill="1" applyBorder="1" applyAlignment="1">
      <alignment horizontal="center" vertical="top"/>
    </xf>
    <xf numFmtId="0" fontId="5" fillId="3" borderId="3" xfId="0" applyFont="1" applyFill="1" applyBorder="1"/>
    <xf numFmtId="0" fontId="5" fillId="3" borderId="4" xfId="0" applyFont="1" applyFill="1" applyBorder="1"/>
    <xf numFmtId="0" fontId="0" fillId="4" borderId="5" xfId="0" applyFill="1" applyBorder="1"/>
    <xf numFmtId="49" fontId="0" fillId="4" borderId="6" xfId="0" applyNumberFormat="1" applyFill="1" applyBorder="1"/>
    <xf numFmtId="0" fontId="0" fillId="4" borderId="6" xfId="0" applyFill="1" applyBorder="1"/>
    <xf numFmtId="14" fontId="0" fillId="4" borderId="6" xfId="0" applyNumberFormat="1" applyFill="1" applyBorder="1"/>
    <xf numFmtId="164" fontId="0" fillId="4" borderId="6" xfId="0" applyNumberFormat="1" applyFill="1" applyBorder="1"/>
    <xf numFmtId="1" fontId="0" fillId="4" borderId="6" xfId="0" applyNumberFormat="1" applyFill="1" applyBorder="1"/>
    <xf numFmtId="0" fontId="0" fillId="4" borderId="7" xfId="0" applyFill="1" applyBorder="1"/>
    <xf numFmtId="164" fontId="0" fillId="4" borderId="7" xfId="0" applyNumberFormat="1" applyFill="1" applyBorder="1"/>
    <xf numFmtId="0" fontId="0" fillId="2" borderId="8" xfId="0" applyFill="1" applyBorder="1"/>
    <xf numFmtId="49" fontId="0" fillId="2" borderId="9" xfId="0" applyNumberFormat="1" applyFill="1" applyBorder="1"/>
    <xf numFmtId="0" fontId="0" fillId="2" borderId="9" xfId="0" applyFill="1" applyBorder="1"/>
    <xf numFmtId="14" fontId="0" fillId="2" borderId="9" xfId="0" applyNumberFormat="1" applyFill="1" applyBorder="1"/>
    <xf numFmtId="164" fontId="0" fillId="2" borderId="9" xfId="0" applyNumberFormat="1" applyFill="1" applyBorder="1"/>
    <xf numFmtId="1" fontId="0" fillId="2" borderId="9" xfId="0" applyNumberFormat="1" applyFill="1" applyBorder="1"/>
    <xf numFmtId="0" fontId="0" fillId="4" borderId="8" xfId="0" applyFill="1" applyBorder="1"/>
    <xf numFmtId="49" fontId="0" fillId="4" borderId="9" xfId="0" applyNumberFormat="1" applyFill="1" applyBorder="1"/>
    <xf numFmtId="0" fontId="0" fillId="4" borderId="9" xfId="0" applyFill="1" applyBorder="1"/>
    <xf numFmtId="14" fontId="0" fillId="4" borderId="9" xfId="0" applyNumberFormat="1" applyFill="1" applyBorder="1"/>
    <xf numFmtId="164" fontId="0" fillId="4" borderId="9" xfId="0" applyNumberFormat="1" applyFill="1" applyBorder="1"/>
    <xf numFmtId="1" fontId="0" fillId="4" borderId="9" xfId="0" applyNumberFormat="1" applyFill="1" applyBorder="1"/>
    <xf numFmtId="9" fontId="0" fillId="0" borderId="0" xfId="1" applyFont="1"/>
    <xf numFmtId="165" fontId="0" fillId="0" borderId="0" xfId="0" applyNumberFormat="1"/>
    <xf numFmtId="9" fontId="0" fillId="0" borderId="0" xfId="0" applyNumberFormat="1"/>
    <xf numFmtId="0" fontId="0" fillId="0" borderId="0" xfId="0" applyNumberFormat="1"/>
  </cellXfs>
  <cellStyles count="2">
    <cellStyle name="Normal" xfId="0" builtinId="0"/>
    <cellStyle name="Percent" xfId="1" builtinId="5"/>
  </cellStyles>
  <dxfs count="80">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Analysis1!$I$32</c:f>
              <c:strCache>
                <c:ptCount val="1"/>
                <c:pt idx="0">
                  <c:v>Total Exits</c:v>
                </c:pt>
              </c:strCache>
            </c:strRef>
          </c:tx>
          <c:spPr>
            <a:solidFill>
              <a:schemeClr val="accent1"/>
            </a:solidFill>
            <a:ln>
              <a:noFill/>
            </a:ln>
            <a:effectLst/>
          </c:spPr>
          <c:invertIfNegative val="0"/>
          <c:cat>
            <c:strRef>
              <c:f>Analysis1!$H$33:$H$38</c:f>
              <c:strCache>
                <c:ptCount val="6"/>
                <c:pt idx="0">
                  <c:v>Finance</c:v>
                </c:pt>
                <c:pt idx="1">
                  <c:v>Human Resources</c:v>
                </c:pt>
                <c:pt idx="2">
                  <c:v>Information Technology</c:v>
                </c:pt>
                <c:pt idx="3">
                  <c:v>Marketing</c:v>
                </c:pt>
                <c:pt idx="4">
                  <c:v>Operations</c:v>
                </c:pt>
                <c:pt idx="5">
                  <c:v>Sales</c:v>
                </c:pt>
              </c:strCache>
            </c:strRef>
          </c:cat>
          <c:val>
            <c:numRef>
              <c:f>Analysis1!$I$33:$I$38</c:f>
              <c:numCache>
                <c:formatCode>General</c:formatCode>
                <c:ptCount val="6"/>
                <c:pt idx="0">
                  <c:v>3</c:v>
                </c:pt>
                <c:pt idx="1">
                  <c:v>3</c:v>
                </c:pt>
                <c:pt idx="2">
                  <c:v>8</c:v>
                </c:pt>
                <c:pt idx="3">
                  <c:v>3</c:v>
                </c:pt>
                <c:pt idx="4">
                  <c:v>11</c:v>
                </c:pt>
                <c:pt idx="5">
                  <c:v>6</c:v>
                </c:pt>
              </c:numCache>
            </c:numRef>
          </c:val>
          <c:extLst>
            <c:ext xmlns:c16="http://schemas.microsoft.com/office/drawing/2014/chart" uri="{C3380CC4-5D6E-409C-BE32-E72D297353CC}">
              <c16:uniqueId val="{00000000-2C19-4B91-A6E3-7F65CFCDAFE1}"/>
            </c:ext>
          </c:extLst>
        </c:ser>
        <c:ser>
          <c:idx val="2"/>
          <c:order val="2"/>
          <c:tx>
            <c:strRef>
              <c:f>Analysis1!$K$32</c:f>
              <c:strCache>
                <c:ptCount val="1"/>
                <c:pt idx="0">
                  <c:v>Attrition Rate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Analysis1!$H$33:$H$38</c:f>
              <c:strCache>
                <c:ptCount val="6"/>
                <c:pt idx="0">
                  <c:v>Finance</c:v>
                </c:pt>
                <c:pt idx="1">
                  <c:v>Human Resources</c:v>
                </c:pt>
                <c:pt idx="2">
                  <c:v>Information Technology</c:v>
                </c:pt>
                <c:pt idx="3">
                  <c:v>Marketing</c:v>
                </c:pt>
                <c:pt idx="4">
                  <c:v>Operations</c:v>
                </c:pt>
                <c:pt idx="5">
                  <c:v>Sales</c:v>
                </c:pt>
              </c:strCache>
            </c:strRef>
          </c:cat>
          <c:val>
            <c:numRef>
              <c:f>Analysis1!$K$33:$K$38</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1-2C19-4B91-A6E3-7F65CFCDAFE1}"/>
            </c:ext>
          </c:extLst>
        </c:ser>
        <c:dLbls>
          <c:showLegendKey val="0"/>
          <c:showVal val="0"/>
          <c:showCatName val="0"/>
          <c:showSerName val="0"/>
          <c:showPercent val="0"/>
          <c:showBubbleSize val="0"/>
        </c:dLbls>
        <c:gapWidth val="150"/>
        <c:overlap val="100"/>
        <c:axId val="1206657808"/>
        <c:axId val="1206632848"/>
        <c:extLst>
          <c:ext xmlns:c15="http://schemas.microsoft.com/office/drawing/2012/chart" uri="{02D57815-91ED-43cb-92C2-25804820EDAC}">
            <c15:filteredBarSeries>
              <c15:ser>
                <c:idx val="1"/>
                <c:order val="1"/>
                <c:tx>
                  <c:strRef>
                    <c:extLst>
                      <c:ext uri="{02D57815-91ED-43cb-92C2-25804820EDAC}">
                        <c15:formulaRef>
                          <c15:sqref>Analysis1!$J$32</c15:sqref>
                        </c15:formulaRef>
                      </c:ext>
                    </c:extLst>
                    <c:strCache>
                      <c:ptCount val="1"/>
                      <c:pt idx="0">
                        <c:v>Grand Total</c:v>
                      </c:pt>
                    </c:strCache>
                  </c:strRef>
                </c:tx>
                <c:spPr>
                  <a:solidFill>
                    <a:schemeClr val="accent2"/>
                  </a:solidFill>
                  <a:ln>
                    <a:noFill/>
                  </a:ln>
                  <a:effectLst/>
                </c:spPr>
                <c:invertIfNegative val="0"/>
                <c:cat>
                  <c:strRef>
                    <c:extLst>
                      <c:ext uri="{02D57815-91ED-43cb-92C2-25804820EDAC}">
                        <c15:formulaRef>
                          <c15:sqref>Analysis1!$H$33:$H$38</c15:sqref>
                        </c15:formulaRef>
                      </c:ext>
                    </c:extLst>
                    <c:strCache>
                      <c:ptCount val="6"/>
                      <c:pt idx="0">
                        <c:v>Finance</c:v>
                      </c:pt>
                      <c:pt idx="1">
                        <c:v>Human Resources</c:v>
                      </c:pt>
                      <c:pt idx="2">
                        <c:v>Information Technology</c:v>
                      </c:pt>
                      <c:pt idx="3">
                        <c:v>Marketing</c:v>
                      </c:pt>
                      <c:pt idx="4">
                        <c:v>Operations</c:v>
                      </c:pt>
                      <c:pt idx="5">
                        <c:v>Sales</c:v>
                      </c:pt>
                    </c:strCache>
                  </c:strRef>
                </c:cat>
                <c:val>
                  <c:numRef>
                    <c:extLst>
                      <c:ext uri="{02D57815-91ED-43cb-92C2-25804820EDAC}">
                        <c15:formulaRef>
                          <c15:sqref>Analysis1!$J$33:$J$38</c15:sqref>
                        </c15:formulaRef>
                      </c:ext>
                    </c:extLst>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2-2C19-4B91-A6E3-7F65CFCDAFE1}"/>
                  </c:ext>
                </c:extLst>
              </c15:ser>
            </c15:filteredBarSeries>
          </c:ext>
        </c:extLst>
      </c:barChart>
      <c:catAx>
        <c:axId val="120665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32848"/>
        <c:crosses val="autoZero"/>
        <c:auto val="1"/>
        <c:lblAlgn val="ctr"/>
        <c:lblOffset val="100"/>
        <c:noMultiLvlLbl val="0"/>
      </c:catAx>
      <c:valAx>
        <c:axId val="1206632848"/>
        <c:scaling>
          <c:orientation val="minMax"/>
        </c:scaling>
        <c:delete val="1"/>
        <c:axPos val="b"/>
        <c:numFmt formatCode="General" sourceLinked="1"/>
        <c:majorTickMark val="none"/>
        <c:minorTickMark val="none"/>
        <c:tickLblPos val="nextTo"/>
        <c:crossAx val="1206657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[HR_Analytics_Capstone_Completed_David_Chimezie.xlsx]Analysis1!PivotTable1</c:name>
    <c:fmtId val="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Analysis1!$B$28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Analysis1!$A$29:$A$32</c:f>
              <c:strCache>
                <c:ptCount val="3"/>
                <c:pt idx="0">
                  <c:v>Active</c:v>
                </c:pt>
                <c:pt idx="1">
                  <c:v>Left</c:v>
                </c:pt>
                <c:pt idx="2">
                  <c:v>Resigned</c:v>
                </c:pt>
              </c:strCache>
            </c:strRef>
          </c:cat>
          <c:val>
            <c:numRef>
              <c:f>Analysis1!$B$29:$B$32</c:f>
              <c:numCache>
                <c:formatCode>0</c:formatCode>
                <c:ptCount val="3"/>
                <c:pt idx="0">
                  <c:v>67.746206896551726</c:v>
                </c:pt>
                <c:pt idx="1">
                  <c:v>66.211666666666659</c:v>
                </c:pt>
                <c:pt idx="2">
                  <c:v>76.400000000000006</c:v>
                </c:pt>
              </c:numCache>
            </c:numRef>
          </c:val>
          <c:extLst>
            <c:ext xmlns:c16="http://schemas.microsoft.com/office/drawing/2014/chart" uri="{C3380CC4-5D6E-409C-BE32-E72D297353CC}">
              <c16:uniqueId val="{00000000-A7C0-4A61-92B3-D9020FEB4E7C}"/>
            </c:ext>
          </c:extLst>
        </c:ser>
        <c:dLbls>
          <c:showLegendKey val="0"/>
          <c:showVal val="0"/>
          <c:showCatName val="0"/>
          <c:showSerName val="0"/>
          <c:showPercent val="0"/>
          <c:showBubbleSize val="0"/>
        </c:dLbls>
        <c:gapWidth val="182"/>
        <c:axId val="1206715888"/>
        <c:axId val="1206691408"/>
      </c:barChart>
      <c:catAx>
        <c:axId val="1206715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91408"/>
        <c:crosses val="autoZero"/>
        <c:auto val="1"/>
        <c:lblAlgn val="ctr"/>
        <c:lblOffset val="100"/>
        <c:noMultiLvlLbl val="0"/>
      </c:catAx>
      <c:valAx>
        <c:axId val="1206691408"/>
        <c:scaling>
          <c:orientation val="minMax"/>
        </c:scaling>
        <c:delete val="1"/>
        <c:axPos val="b"/>
        <c:numFmt formatCode="0" sourceLinked="1"/>
        <c:majorTickMark val="none"/>
        <c:minorTickMark val="none"/>
        <c:tickLblPos val="nextTo"/>
        <c:crossAx val="12067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[HR_Analytics_Capstone_Completed_David_Chimezie.xlsx]Analysis1!PivotTable14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Analysis1!$E$47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Analysis1!$D$48:$D$54</c:f>
              <c:strCache>
                <c:ptCount val="6"/>
                <c:pt idx="0">
                  <c:v>Finance</c:v>
                </c:pt>
                <c:pt idx="1">
                  <c:v>Human Resources</c:v>
                </c:pt>
                <c:pt idx="2">
                  <c:v>Information Technology</c:v>
                </c:pt>
                <c:pt idx="3">
                  <c:v>Marketing</c:v>
                </c:pt>
                <c:pt idx="4">
                  <c:v>Operations</c:v>
                </c:pt>
                <c:pt idx="5">
                  <c:v>Sales</c:v>
                </c:pt>
              </c:strCache>
            </c:strRef>
          </c:cat>
          <c:val>
            <c:numRef>
              <c:f>Analysis1!$E$48:$E$54</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C33C-4465-AC1F-BF9620B48E78}"/>
            </c:ext>
          </c:extLst>
        </c:ser>
        <c:dLbls>
          <c:showLegendKey val="0"/>
          <c:showVal val="0"/>
          <c:showCatName val="0"/>
          <c:showSerName val="0"/>
          <c:showPercent val="0"/>
          <c:showBubbleSize val="0"/>
        </c:dLbls>
        <c:gapWidth val="219"/>
        <c:overlap val="-27"/>
        <c:axId val="1206636208"/>
        <c:axId val="1206649168"/>
      </c:barChart>
      <c:catAx>
        <c:axId val="12066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49168"/>
        <c:crosses val="autoZero"/>
        <c:auto val="1"/>
        <c:lblAlgn val="ctr"/>
        <c:lblOffset val="100"/>
        <c:noMultiLvlLbl val="0"/>
      </c:catAx>
      <c:valAx>
        <c:axId val="1206649168"/>
        <c:scaling>
          <c:orientation val="minMax"/>
        </c:scaling>
        <c:delete val="1"/>
        <c:axPos val="l"/>
        <c:numFmt formatCode="General" sourceLinked="1"/>
        <c:majorTickMark val="none"/>
        <c:minorTickMark val="none"/>
        <c:tickLblPos val="nextTo"/>
        <c:crossAx val="120663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[HR_Analytics_Capstone_Completed_David_Chimezie.xlsx]Analysis1!PivotTable15</c:name>
    <c:fmtId val="35"/>
  </c:pivotSource>
  <c:chart>
    <c:autoTitleDeleted val="1"/>
    <c:pivotFmts>
      <c:pivotFmt>
        <c:idx val="0"/>
        <c:spPr>
          <a:solidFill>
            <a:schemeClr val="accent1"/>
          </a:solidFill>
          <a:ln w="12700" cap="rnd">
            <a:solidFill>
              <a:schemeClr val="accent1"/>
            </a:solidFill>
            <a:prstDash val="lgDashDotDot"/>
            <a:round/>
          </a:ln>
          <a:effectLst>
            <a:glow>
              <a:schemeClr val="accent1">
                <a:alpha val="40000"/>
              </a:schemeClr>
            </a:glow>
            <a:outerShdw blurRad="50800" dist="50800" algn="ctr" rotWithShape="0">
              <a:srgbClr val="000000">
                <a:alpha val="43137"/>
              </a:srgbClr>
            </a:outerShdw>
            <a:softEdge rad="0"/>
          </a:effectLst>
        </c:spPr>
        <c:marker>
          <c:symbol val="square"/>
          <c:size val="10"/>
          <c:spPr>
            <a:solidFill>
              <a:schemeClr val="accent1"/>
            </a:solidFill>
            <a:ln w="9525">
              <a:solidFill>
                <a:schemeClr val="accent1"/>
              </a:solidFill>
            </a:ln>
            <a:effectLst>
              <a:glow>
                <a:schemeClr val="accent1">
                  <a:alpha val="40000"/>
                </a:schemeClr>
              </a:glow>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prstDash val="lgDashDotDot"/>
            <a:round/>
          </a:ln>
          <a:effectLst>
            <a:glow>
              <a:schemeClr val="accent1">
                <a:alpha val="40000"/>
              </a:schemeClr>
            </a:glow>
            <a:outerShdw blurRad="50800" dist="50800" algn="ctr" rotWithShape="0">
              <a:srgbClr val="000000">
                <a:alpha val="43137"/>
              </a:srgbClr>
            </a:outerShdw>
            <a:softEdge rad="0"/>
          </a:effectLst>
        </c:spPr>
        <c:marker>
          <c:symbol val="square"/>
          <c:size val="10"/>
          <c:spPr>
            <a:solidFill>
              <a:schemeClr val="accent1"/>
            </a:solidFill>
            <a:ln w="9525">
              <a:solidFill>
                <a:schemeClr val="accent1"/>
              </a:solidFill>
            </a:ln>
            <a:effectLst>
              <a:glow>
                <a:schemeClr val="accent1">
                  <a:alpha val="40000"/>
                </a:schemeClr>
              </a:glow>
              <a:outerShdw blurRad="50800" dist="50800" algn="ctr" rotWithShape="0">
                <a:srgbClr val="000000">
                  <a:alpha val="43137"/>
                </a:srgbClr>
              </a:outerShdw>
              <a:softEdge rad="0"/>
            </a:effectLst>
          </c:spPr>
        </c:marker>
      </c:pivotFmt>
      <c:pivotFmt>
        <c:idx val="2"/>
        <c:spPr>
          <a:solidFill>
            <a:schemeClr val="accent1"/>
          </a:solidFill>
          <a:ln w="12700" cap="rnd">
            <a:solidFill>
              <a:schemeClr val="accent1"/>
            </a:solidFill>
            <a:prstDash val="lgDashDotDot"/>
            <a:round/>
          </a:ln>
          <a:effectLst>
            <a:glow>
              <a:schemeClr val="accent1">
                <a:alpha val="40000"/>
              </a:schemeClr>
            </a:glow>
            <a:outerShdw blurRad="50800" dist="50800" algn="ctr" rotWithShape="0">
              <a:srgbClr val="000000">
                <a:alpha val="43137"/>
              </a:srgbClr>
            </a:outerShdw>
            <a:softEdge rad="0"/>
          </a:effectLst>
        </c:spPr>
        <c:marker>
          <c:symbol val="square"/>
          <c:size val="10"/>
          <c:spPr>
            <a:solidFill>
              <a:schemeClr val="accent1"/>
            </a:solidFill>
            <a:ln w="9525">
              <a:solidFill>
                <a:schemeClr val="accent1"/>
              </a:solidFill>
            </a:ln>
            <a:effectLst>
              <a:glow>
                <a:schemeClr val="accent1">
                  <a:alpha val="40000"/>
                </a:schemeClr>
              </a:glow>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2700" cap="rnd">
            <a:solidFill>
              <a:schemeClr val="accent1"/>
            </a:solidFill>
            <a:prstDash val="lgDashDotDot"/>
            <a:round/>
          </a:ln>
          <a:effectLst>
            <a:glow>
              <a:schemeClr val="accent1">
                <a:alpha val="40000"/>
              </a:schemeClr>
            </a:glow>
            <a:outerShdw blurRad="50800" dist="50800" algn="ctr" rotWithShape="0">
              <a:srgbClr val="000000">
                <a:alpha val="43137"/>
              </a:srgbClr>
            </a:outerShdw>
            <a:softEdge rad="0"/>
          </a:effectLst>
        </c:spPr>
        <c:marker>
          <c:symbol val="square"/>
          <c:size val="10"/>
          <c:spPr>
            <a:solidFill>
              <a:schemeClr val="accent1"/>
            </a:solidFill>
            <a:ln w="9525">
              <a:solidFill>
                <a:schemeClr val="accent1"/>
              </a:solidFill>
            </a:ln>
            <a:effectLst>
              <a:glow>
                <a:schemeClr val="accent1">
                  <a:alpha val="40000"/>
                </a:schemeClr>
              </a:glow>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9460500963391E-2"/>
          <c:y val="9.5477386934673364E-2"/>
          <c:w val="0.95761078998073212"/>
          <c:h val="0.66239544177580822"/>
        </c:manualLayout>
      </c:layout>
      <c:lineChart>
        <c:grouping val="standard"/>
        <c:varyColors val="0"/>
        <c:ser>
          <c:idx val="0"/>
          <c:order val="0"/>
          <c:tx>
            <c:strRef>
              <c:f>Analysis1!$H$47</c:f>
              <c:strCache>
                <c:ptCount val="1"/>
                <c:pt idx="0">
                  <c:v>Total</c:v>
                </c:pt>
              </c:strCache>
            </c:strRef>
          </c:tx>
          <c:spPr>
            <a:ln w="12700" cap="rnd">
              <a:solidFill>
                <a:schemeClr val="accent1"/>
              </a:solidFill>
              <a:prstDash val="lgDashDotDot"/>
              <a:round/>
            </a:ln>
            <a:effectLst>
              <a:glow>
                <a:schemeClr val="accent1">
                  <a:alpha val="40000"/>
                </a:schemeClr>
              </a:glow>
              <a:outerShdw blurRad="50800" dist="50800" algn="ctr" rotWithShape="0">
                <a:srgbClr val="000000">
                  <a:alpha val="43137"/>
                </a:srgbClr>
              </a:outerShdw>
              <a:softEdge rad="0"/>
            </a:effectLst>
          </c:spPr>
          <c:marker>
            <c:symbol val="square"/>
            <c:size val="10"/>
            <c:spPr>
              <a:solidFill>
                <a:schemeClr val="accent1"/>
              </a:solidFill>
              <a:ln w="9525">
                <a:solidFill>
                  <a:schemeClr val="accent1"/>
                </a:solidFill>
              </a:ln>
              <a:effectLst>
                <a:glow>
                  <a:schemeClr val="accent1">
                    <a:alpha val="40000"/>
                  </a:schemeClr>
                </a:glow>
                <a:outerShdw blurRad="50800" dist="50800" algn="ctr" rotWithShape="0">
                  <a:srgbClr val="000000">
                    <a:alpha val="43137"/>
                  </a:srgbClr>
                </a:outerShdw>
                <a:softEdge rad="0"/>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Analysis1!$G$48:$G$54</c:f>
              <c:strCache>
                <c:ptCount val="6"/>
                <c:pt idx="0">
                  <c:v>Finance</c:v>
                </c:pt>
                <c:pt idx="1">
                  <c:v>Human Resources</c:v>
                </c:pt>
                <c:pt idx="2">
                  <c:v>Information Technology</c:v>
                </c:pt>
                <c:pt idx="3">
                  <c:v>Marketing</c:v>
                </c:pt>
                <c:pt idx="4">
                  <c:v>Operations</c:v>
                </c:pt>
                <c:pt idx="5">
                  <c:v>Sales</c:v>
                </c:pt>
              </c:strCache>
            </c:strRef>
          </c:cat>
          <c:val>
            <c:numRef>
              <c:f>Analysis1!$H$48:$H$54</c:f>
              <c:numCache>
                <c:formatCode>[&gt;=1000000]"$"0.0,,"m";[&gt;=1000]"$"0.0,"k";"$"#,##0</c:formatCode>
                <c:ptCount val="6"/>
                <c:pt idx="0">
                  <c:v>87173.575882352932</c:v>
                </c:pt>
                <c:pt idx="1">
                  <c:v>85536.273888888885</c:v>
                </c:pt>
                <c:pt idx="2">
                  <c:v>80512.823611111118</c:v>
                </c:pt>
                <c:pt idx="3">
                  <c:v>85407.943684210521</c:v>
                </c:pt>
                <c:pt idx="4">
                  <c:v>80049.926206896547</c:v>
                </c:pt>
                <c:pt idx="5">
                  <c:v>86333.078709677429</c:v>
                </c:pt>
              </c:numCache>
            </c:numRef>
          </c:val>
          <c:smooth val="0"/>
          <c:extLst>
            <c:ext xmlns:c16="http://schemas.microsoft.com/office/drawing/2014/chart" uri="{C3380CC4-5D6E-409C-BE32-E72D297353CC}">
              <c16:uniqueId val="{00000001-87CD-40ED-9AF4-DDA45F372C34}"/>
            </c:ext>
          </c:extLst>
        </c:ser>
        <c:dLbls>
          <c:showLegendKey val="0"/>
          <c:showVal val="0"/>
          <c:showCatName val="0"/>
          <c:showSerName val="0"/>
          <c:showPercent val="0"/>
          <c:showBubbleSize val="0"/>
        </c:dLbls>
        <c:marker val="1"/>
        <c:smooth val="0"/>
        <c:axId val="1206712048"/>
        <c:axId val="1206694288"/>
      </c:lineChart>
      <c:catAx>
        <c:axId val="12067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94288"/>
        <c:crosses val="autoZero"/>
        <c:auto val="1"/>
        <c:lblAlgn val="ctr"/>
        <c:lblOffset val="100"/>
        <c:noMultiLvlLbl val="0"/>
      </c:catAx>
      <c:valAx>
        <c:axId val="1206694288"/>
        <c:scaling>
          <c:orientation val="minMax"/>
        </c:scaling>
        <c:delete val="1"/>
        <c:axPos val="l"/>
        <c:numFmt formatCode="[&gt;=1000000]&quot;$&quot;0.0,,&quot;m&quot;;[&gt;=1000]&quot;$&quot;0.0,&quot;k&quot;;&quot;$&quot;#,##0" sourceLinked="1"/>
        <c:majorTickMark val="none"/>
        <c:minorTickMark val="none"/>
        <c:tickLblPos val="nextTo"/>
        <c:crossAx val="120671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[HR_Analytics_Capstone_Completed_David_Chimezie.xlsx]Analysis1!PivotTable4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Analysis1!$B$37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A0-4CB9-8229-F4CD84FC37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A0-4CB9-8229-F4CD84FC37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A0-4CB9-8229-F4CD84FC37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A0-4CB9-8229-F4CD84FC37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A0-4CB9-8229-F4CD84FC37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Analysis1!$A$38:$A$43</c:f>
              <c:strCache>
                <c:ptCount val="5"/>
                <c:pt idx="0">
                  <c:v>Achieving</c:v>
                </c:pt>
                <c:pt idx="1">
                  <c:v>Developing</c:v>
                </c:pt>
                <c:pt idx="2">
                  <c:v>Exceeding</c:v>
                </c:pt>
                <c:pt idx="3">
                  <c:v>Needs Improvement</c:v>
                </c:pt>
                <c:pt idx="4">
                  <c:v>Outstanding</c:v>
                </c:pt>
              </c:strCache>
            </c:strRef>
          </c:cat>
          <c:val>
            <c:numRef>
              <c:f>Analysis1!$B$38:$B$43</c:f>
              <c:numCache>
                <c:formatCode>[&gt;=1000000]"$"0.0,,"m";[&gt;=1000]"$"0.0,"k";"$"#,##0</c:formatCode>
                <c:ptCount val="5"/>
                <c:pt idx="0">
                  <c:v>165216.93250000002</c:v>
                </c:pt>
                <c:pt idx="1">
                  <c:v>84593.268800000005</c:v>
                </c:pt>
                <c:pt idx="2">
                  <c:v>144689.42879999999</c:v>
                </c:pt>
                <c:pt idx="3">
                  <c:v>0</c:v>
                </c:pt>
                <c:pt idx="4">
                  <c:v>92411.511600000013</c:v>
                </c:pt>
              </c:numCache>
            </c:numRef>
          </c:val>
          <c:extLst>
            <c:ext xmlns:c16="http://schemas.microsoft.com/office/drawing/2014/chart" uri="{C3380CC4-5D6E-409C-BE32-E72D297353CC}">
              <c16:uniqueId val="{0000000A-9DA0-4CB9-8229-F4CD84FC37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476250</xdr:colOff>
      <xdr:row>0</xdr:row>
      <xdr:rowOff>160867</xdr:rowOff>
    </xdr:from>
    <xdr:to>
      <xdr:col>24</xdr:col>
      <xdr:colOff>36286</xdr:colOff>
      <xdr:row>38</xdr:row>
      <xdr:rowOff>18144</xdr:rowOff>
    </xdr:to>
    <xdr:sp macro="" textlink="">
      <xdr:nvSpPr>
        <xdr:cNvPr id="2" name="Rectangle: Rounded Corners 1">
          <a:extLst>
            <a:ext uri="{FF2B5EF4-FFF2-40B4-BE49-F238E27FC236}">
              <a16:creationId xmlns:a16="http://schemas.microsoft.com/office/drawing/2014/main" id="{64E48EFA-8B96-0528-B1C5-B3D0B2E6DB04}"/>
            </a:ext>
          </a:extLst>
        </xdr:cNvPr>
        <xdr:cNvSpPr/>
      </xdr:nvSpPr>
      <xdr:spPr>
        <a:xfrm>
          <a:off x="476250" y="160867"/>
          <a:ext cx="14292036" cy="6694110"/>
        </a:xfrm>
        <a:prstGeom prst="roundRect">
          <a:avLst>
            <a:gd name="adj" fmla="val 610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114300</xdr:colOff>
      <xdr:row>5</xdr:row>
      <xdr:rowOff>26304</xdr:rowOff>
    </xdr:from>
    <xdr:to>
      <xdr:col>4</xdr:col>
      <xdr:colOff>136071</xdr:colOff>
      <xdr:row>11</xdr:row>
      <xdr:rowOff>81640</xdr:rowOff>
    </xdr:to>
    <xdr:sp macro="" textlink="">
      <xdr:nvSpPr>
        <xdr:cNvPr id="3" name="Rectangle: Rounded Corners 2">
          <a:extLst>
            <a:ext uri="{FF2B5EF4-FFF2-40B4-BE49-F238E27FC236}">
              <a16:creationId xmlns:a16="http://schemas.microsoft.com/office/drawing/2014/main" id="{C63E9A1E-97CC-B7F9-2D46-1749132C8D0D}"/>
            </a:ext>
          </a:extLst>
        </xdr:cNvPr>
        <xdr:cNvSpPr/>
      </xdr:nvSpPr>
      <xdr:spPr>
        <a:xfrm>
          <a:off x="722086" y="93344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257623</xdr:colOff>
      <xdr:row>5</xdr:row>
      <xdr:rowOff>24494</xdr:rowOff>
    </xdr:from>
    <xdr:to>
      <xdr:col>7</xdr:col>
      <xdr:colOff>279394</xdr:colOff>
      <xdr:row>11</xdr:row>
      <xdr:rowOff>79830</xdr:rowOff>
    </xdr:to>
    <xdr:sp macro="" textlink="">
      <xdr:nvSpPr>
        <xdr:cNvPr id="10" name="Rectangle: Rounded Corners 9">
          <a:extLst>
            <a:ext uri="{FF2B5EF4-FFF2-40B4-BE49-F238E27FC236}">
              <a16:creationId xmlns:a16="http://schemas.microsoft.com/office/drawing/2014/main" id="{CA84A7B2-0637-C01D-6160-AE23DACB2F48}"/>
            </a:ext>
          </a:extLst>
        </xdr:cNvPr>
        <xdr:cNvSpPr/>
      </xdr:nvSpPr>
      <xdr:spPr>
        <a:xfrm>
          <a:off x="2688766" y="93163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400946</xdr:colOff>
      <xdr:row>5</xdr:row>
      <xdr:rowOff>22684</xdr:rowOff>
    </xdr:from>
    <xdr:to>
      <xdr:col>10</xdr:col>
      <xdr:colOff>422717</xdr:colOff>
      <xdr:row>11</xdr:row>
      <xdr:rowOff>78020</xdr:rowOff>
    </xdr:to>
    <xdr:sp macro="" textlink="">
      <xdr:nvSpPr>
        <xdr:cNvPr id="11" name="Rectangle: Rounded Corners 10">
          <a:extLst>
            <a:ext uri="{FF2B5EF4-FFF2-40B4-BE49-F238E27FC236}">
              <a16:creationId xmlns:a16="http://schemas.microsoft.com/office/drawing/2014/main" id="{1FC0F885-82E9-82A7-30CA-DCB459C8A9CB}"/>
            </a:ext>
          </a:extLst>
        </xdr:cNvPr>
        <xdr:cNvSpPr/>
      </xdr:nvSpPr>
      <xdr:spPr>
        <a:xfrm>
          <a:off x="4655446" y="92982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544269</xdr:colOff>
      <xdr:row>5</xdr:row>
      <xdr:rowOff>20874</xdr:rowOff>
    </xdr:from>
    <xdr:to>
      <xdr:col>13</xdr:col>
      <xdr:colOff>566040</xdr:colOff>
      <xdr:row>11</xdr:row>
      <xdr:rowOff>76210</xdr:rowOff>
    </xdr:to>
    <xdr:sp macro="" textlink="">
      <xdr:nvSpPr>
        <xdr:cNvPr id="12" name="Rectangle: Rounded Corners 11">
          <a:extLst>
            <a:ext uri="{FF2B5EF4-FFF2-40B4-BE49-F238E27FC236}">
              <a16:creationId xmlns:a16="http://schemas.microsoft.com/office/drawing/2014/main" id="{89DD1772-40A4-9D14-688D-851461BA3722}"/>
            </a:ext>
          </a:extLst>
        </xdr:cNvPr>
        <xdr:cNvSpPr/>
      </xdr:nvSpPr>
      <xdr:spPr>
        <a:xfrm>
          <a:off x="6622126" y="92801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79806</xdr:colOff>
      <xdr:row>5</xdr:row>
      <xdr:rowOff>19064</xdr:rowOff>
    </xdr:from>
    <xdr:to>
      <xdr:col>17</xdr:col>
      <xdr:colOff>101577</xdr:colOff>
      <xdr:row>11</xdr:row>
      <xdr:rowOff>74400</xdr:rowOff>
    </xdr:to>
    <xdr:sp macro="" textlink="">
      <xdr:nvSpPr>
        <xdr:cNvPr id="13" name="Rectangle: Rounded Corners 12">
          <a:extLst>
            <a:ext uri="{FF2B5EF4-FFF2-40B4-BE49-F238E27FC236}">
              <a16:creationId xmlns:a16="http://schemas.microsoft.com/office/drawing/2014/main" id="{0BC31216-FD80-CA06-FD91-7854564775C5}"/>
            </a:ext>
          </a:extLst>
        </xdr:cNvPr>
        <xdr:cNvSpPr/>
      </xdr:nvSpPr>
      <xdr:spPr>
        <a:xfrm>
          <a:off x="8588806" y="92620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223129</xdr:colOff>
      <xdr:row>5</xdr:row>
      <xdr:rowOff>17254</xdr:rowOff>
    </xdr:from>
    <xdr:to>
      <xdr:col>20</xdr:col>
      <xdr:colOff>244900</xdr:colOff>
      <xdr:row>11</xdr:row>
      <xdr:rowOff>72590</xdr:rowOff>
    </xdr:to>
    <xdr:sp macro="" textlink="">
      <xdr:nvSpPr>
        <xdr:cNvPr id="14" name="Rectangle: Rounded Corners 13">
          <a:extLst>
            <a:ext uri="{FF2B5EF4-FFF2-40B4-BE49-F238E27FC236}">
              <a16:creationId xmlns:a16="http://schemas.microsoft.com/office/drawing/2014/main" id="{46A1E003-F5F1-3729-DFC3-092918A62BF8}"/>
            </a:ext>
          </a:extLst>
        </xdr:cNvPr>
        <xdr:cNvSpPr/>
      </xdr:nvSpPr>
      <xdr:spPr>
        <a:xfrm>
          <a:off x="10555486" y="92439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366452</xdr:colOff>
      <xdr:row>5</xdr:row>
      <xdr:rowOff>15444</xdr:rowOff>
    </xdr:from>
    <xdr:to>
      <xdr:col>23</xdr:col>
      <xdr:colOff>388223</xdr:colOff>
      <xdr:row>11</xdr:row>
      <xdr:rowOff>70780</xdr:rowOff>
    </xdr:to>
    <xdr:sp macro="" textlink="">
      <xdr:nvSpPr>
        <xdr:cNvPr id="15" name="Rectangle: Rounded Corners 14">
          <a:extLst>
            <a:ext uri="{FF2B5EF4-FFF2-40B4-BE49-F238E27FC236}">
              <a16:creationId xmlns:a16="http://schemas.microsoft.com/office/drawing/2014/main" id="{21DAC1E3-2A36-5144-D734-C531580F8152}"/>
            </a:ext>
          </a:extLst>
        </xdr:cNvPr>
        <xdr:cNvSpPr/>
      </xdr:nvSpPr>
      <xdr:spPr>
        <a:xfrm>
          <a:off x="12522166" y="922587"/>
          <a:ext cx="1845128" cy="1143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99790</xdr:colOff>
      <xdr:row>1</xdr:row>
      <xdr:rowOff>63502</xdr:rowOff>
    </xdr:from>
    <xdr:to>
      <xdr:col>4</xdr:col>
      <xdr:colOff>471719</xdr:colOff>
      <xdr:row>3</xdr:row>
      <xdr:rowOff>99788</xdr:rowOff>
    </xdr:to>
    <xdr:sp macro="" textlink="">
      <xdr:nvSpPr>
        <xdr:cNvPr id="16" name="TextBox 15">
          <a:extLst>
            <a:ext uri="{FF2B5EF4-FFF2-40B4-BE49-F238E27FC236}">
              <a16:creationId xmlns:a16="http://schemas.microsoft.com/office/drawing/2014/main" id="{763FF347-A4CD-2267-C511-8DF79BB0C565}"/>
            </a:ext>
          </a:extLst>
        </xdr:cNvPr>
        <xdr:cNvSpPr txBox="1"/>
      </xdr:nvSpPr>
      <xdr:spPr>
        <a:xfrm>
          <a:off x="707576" y="244931"/>
          <a:ext cx="21952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B0F0"/>
              </a:solidFill>
            </a:rPr>
            <a:t>HR Analytics Insights</a:t>
          </a:r>
        </a:p>
      </xdr:txBody>
    </xdr:sp>
    <xdr:clientData/>
  </xdr:twoCellAnchor>
  <xdr:twoCellAnchor>
    <xdr:from>
      <xdr:col>1</xdr:col>
      <xdr:colOff>97980</xdr:colOff>
      <xdr:row>2</xdr:row>
      <xdr:rowOff>170539</xdr:rowOff>
    </xdr:from>
    <xdr:to>
      <xdr:col>5</xdr:col>
      <xdr:colOff>217714</xdr:colOff>
      <xdr:row>5</xdr:row>
      <xdr:rowOff>25396</xdr:rowOff>
    </xdr:to>
    <xdr:sp macro="" textlink="">
      <xdr:nvSpPr>
        <xdr:cNvPr id="17" name="TextBox 16">
          <a:extLst>
            <a:ext uri="{FF2B5EF4-FFF2-40B4-BE49-F238E27FC236}">
              <a16:creationId xmlns:a16="http://schemas.microsoft.com/office/drawing/2014/main" id="{2861A663-721F-72D5-79EE-6DEBB0341CA5}"/>
            </a:ext>
          </a:extLst>
        </xdr:cNvPr>
        <xdr:cNvSpPr txBox="1"/>
      </xdr:nvSpPr>
      <xdr:spPr>
        <a:xfrm>
          <a:off x="705766" y="533396"/>
          <a:ext cx="2550877"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1"/>
              </a:solidFill>
            </a:rPr>
            <a:t>Workforce overview dashboard</a:t>
          </a:r>
          <a:endParaRPr lang="en-US" sz="1800" b="0">
            <a:solidFill>
              <a:schemeClr val="tx1"/>
            </a:solidFill>
          </a:endParaRPr>
        </a:p>
      </xdr:txBody>
    </xdr:sp>
    <xdr:clientData/>
  </xdr:twoCellAnchor>
  <xdr:twoCellAnchor>
    <xdr:from>
      <xdr:col>1</xdr:col>
      <xdr:colOff>359238</xdr:colOff>
      <xdr:row>5</xdr:row>
      <xdr:rowOff>32655</xdr:rowOff>
    </xdr:from>
    <xdr:to>
      <xdr:col>3</xdr:col>
      <xdr:colOff>598714</xdr:colOff>
      <xdr:row>7</xdr:row>
      <xdr:rowOff>68941</xdr:rowOff>
    </xdr:to>
    <xdr:sp macro="" textlink="">
      <xdr:nvSpPr>
        <xdr:cNvPr id="18" name="TextBox 17">
          <a:extLst>
            <a:ext uri="{FF2B5EF4-FFF2-40B4-BE49-F238E27FC236}">
              <a16:creationId xmlns:a16="http://schemas.microsoft.com/office/drawing/2014/main" id="{C4C5230C-8281-D5A1-188D-7407339AF0B9}"/>
            </a:ext>
          </a:extLst>
        </xdr:cNvPr>
        <xdr:cNvSpPr txBox="1"/>
      </xdr:nvSpPr>
      <xdr:spPr>
        <a:xfrm>
          <a:off x="967024" y="939798"/>
          <a:ext cx="1455047"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Total</a:t>
          </a:r>
          <a:r>
            <a:rPr lang="en-US" sz="1400" b="1" baseline="0">
              <a:solidFill>
                <a:schemeClr val="tx1"/>
              </a:solidFill>
            </a:rPr>
            <a:t> Employees</a:t>
          </a:r>
          <a:endParaRPr lang="en-US" sz="1800" b="1">
            <a:solidFill>
              <a:schemeClr val="tx1"/>
            </a:solidFill>
          </a:endParaRPr>
        </a:p>
      </xdr:txBody>
    </xdr:sp>
    <xdr:clientData/>
  </xdr:twoCellAnchor>
  <xdr:twoCellAnchor>
    <xdr:from>
      <xdr:col>5</xdr:col>
      <xdr:colOff>67450</xdr:colOff>
      <xdr:row>5</xdr:row>
      <xdr:rowOff>61683</xdr:rowOff>
    </xdr:from>
    <xdr:to>
      <xdr:col>7</xdr:col>
      <xdr:colOff>175392</xdr:colOff>
      <xdr:row>7</xdr:row>
      <xdr:rowOff>97969</xdr:rowOff>
    </xdr:to>
    <xdr:sp macro="" textlink="">
      <xdr:nvSpPr>
        <xdr:cNvPr id="22" name="TextBox 21">
          <a:extLst>
            <a:ext uri="{FF2B5EF4-FFF2-40B4-BE49-F238E27FC236}">
              <a16:creationId xmlns:a16="http://schemas.microsoft.com/office/drawing/2014/main" id="{6BCD0CF2-4F66-01C2-8397-1F647BAC674A}"/>
            </a:ext>
          </a:extLst>
        </xdr:cNvPr>
        <xdr:cNvSpPr txBox="1"/>
      </xdr:nvSpPr>
      <xdr:spPr>
        <a:xfrm>
          <a:off x="3136617" y="961266"/>
          <a:ext cx="1335608" cy="39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Attrition Rate</a:t>
          </a:r>
          <a:endParaRPr lang="en-US" sz="1800" b="1">
            <a:solidFill>
              <a:schemeClr val="tx1"/>
            </a:solidFill>
          </a:endParaRPr>
        </a:p>
      </xdr:txBody>
    </xdr:sp>
    <xdr:clientData/>
  </xdr:twoCellAnchor>
  <xdr:twoCellAnchor>
    <xdr:from>
      <xdr:col>7</xdr:col>
      <xdr:colOff>350194</xdr:colOff>
      <xdr:row>5</xdr:row>
      <xdr:rowOff>68940</xdr:rowOff>
    </xdr:from>
    <xdr:to>
      <xdr:col>10</xdr:col>
      <xdr:colOff>471739</xdr:colOff>
      <xdr:row>7</xdr:row>
      <xdr:rowOff>105226</xdr:rowOff>
    </xdr:to>
    <xdr:sp macro="" textlink="">
      <xdr:nvSpPr>
        <xdr:cNvPr id="23" name="TextBox 22">
          <a:extLst>
            <a:ext uri="{FF2B5EF4-FFF2-40B4-BE49-F238E27FC236}">
              <a16:creationId xmlns:a16="http://schemas.microsoft.com/office/drawing/2014/main" id="{0DCDE300-9E9A-4155-12E3-B8C4D4480F70}"/>
            </a:ext>
          </a:extLst>
        </xdr:cNvPr>
        <xdr:cNvSpPr txBox="1"/>
      </xdr:nvSpPr>
      <xdr:spPr>
        <a:xfrm>
          <a:off x="4647027" y="968523"/>
          <a:ext cx="1963045" cy="39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Avg Performance Score</a:t>
          </a:r>
          <a:endParaRPr lang="en-US" sz="1800" b="1">
            <a:solidFill>
              <a:schemeClr val="tx1"/>
            </a:solidFill>
          </a:endParaRPr>
        </a:p>
      </xdr:txBody>
    </xdr:sp>
    <xdr:clientData/>
  </xdr:twoCellAnchor>
  <xdr:twoCellAnchor>
    <xdr:from>
      <xdr:col>11</xdr:col>
      <xdr:colOff>64139</xdr:colOff>
      <xdr:row>5</xdr:row>
      <xdr:rowOff>65614</xdr:rowOff>
    </xdr:from>
    <xdr:to>
      <xdr:col>13</xdr:col>
      <xdr:colOff>601760</xdr:colOff>
      <xdr:row>7</xdr:row>
      <xdr:rowOff>101900</xdr:rowOff>
    </xdr:to>
    <xdr:sp macro="" textlink="">
      <xdr:nvSpPr>
        <xdr:cNvPr id="25" name="TextBox 24">
          <a:extLst>
            <a:ext uri="{FF2B5EF4-FFF2-40B4-BE49-F238E27FC236}">
              <a16:creationId xmlns:a16="http://schemas.microsoft.com/office/drawing/2014/main" id="{BF6BB566-254E-AADF-1B71-7654519514B0}"/>
            </a:ext>
          </a:extLst>
        </xdr:cNvPr>
        <xdr:cNvSpPr txBox="1"/>
      </xdr:nvSpPr>
      <xdr:spPr>
        <a:xfrm>
          <a:off x="6816306" y="965197"/>
          <a:ext cx="1765287" cy="39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 Bonus</a:t>
          </a:r>
          <a:r>
            <a:rPr lang="en-US" sz="1400" b="1" baseline="0">
              <a:solidFill>
                <a:schemeClr val="tx1"/>
              </a:solidFill>
            </a:rPr>
            <a:t> Payout</a:t>
          </a:r>
          <a:endParaRPr lang="en-US" sz="1800" b="1">
            <a:solidFill>
              <a:schemeClr val="tx1"/>
            </a:solidFill>
          </a:endParaRPr>
        </a:p>
      </xdr:txBody>
    </xdr:sp>
    <xdr:clientData/>
  </xdr:twoCellAnchor>
  <xdr:twoCellAnchor>
    <xdr:from>
      <xdr:col>7</xdr:col>
      <xdr:colOff>12703</xdr:colOff>
      <xdr:row>12</xdr:row>
      <xdr:rowOff>9071</xdr:rowOff>
    </xdr:from>
    <xdr:to>
      <xdr:col>18</xdr:col>
      <xdr:colOff>203203</xdr:colOff>
      <xdr:row>37</xdr:row>
      <xdr:rowOff>18144</xdr:rowOff>
    </xdr:to>
    <xdr:sp macro="" textlink="">
      <xdr:nvSpPr>
        <xdr:cNvPr id="27" name="Rectangle: Rounded Corners 26">
          <a:extLst>
            <a:ext uri="{FF2B5EF4-FFF2-40B4-BE49-F238E27FC236}">
              <a16:creationId xmlns:a16="http://schemas.microsoft.com/office/drawing/2014/main" id="{998C4C18-C842-4273-8097-8BF088B7F641}"/>
            </a:ext>
          </a:extLst>
        </xdr:cNvPr>
        <xdr:cNvSpPr/>
      </xdr:nvSpPr>
      <xdr:spPr>
        <a:xfrm>
          <a:off x="4279903" y="2295071"/>
          <a:ext cx="6896100" cy="4771573"/>
        </a:xfrm>
        <a:prstGeom prst="roundRect">
          <a:avLst>
            <a:gd name="adj" fmla="val 86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292099</xdr:colOff>
      <xdr:row>12</xdr:row>
      <xdr:rowOff>9071</xdr:rowOff>
    </xdr:from>
    <xdr:to>
      <xdr:col>23</xdr:col>
      <xdr:colOff>469902</xdr:colOff>
      <xdr:row>37</xdr:row>
      <xdr:rowOff>18144</xdr:rowOff>
    </xdr:to>
    <xdr:sp macro="" textlink="">
      <xdr:nvSpPr>
        <xdr:cNvPr id="34" name="Rectangle: Rounded Corners 33">
          <a:extLst>
            <a:ext uri="{FF2B5EF4-FFF2-40B4-BE49-F238E27FC236}">
              <a16:creationId xmlns:a16="http://schemas.microsoft.com/office/drawing/2014/main" id="{CA0DD666-AAAF-BEAA-80C2-125CB3170B23}"/>
            </a:ext>
          </a:extLst>
        </xdr:cNvPr>
        <xdr:cNvSpPr/>
      </xdr:nvSpPr>
      <xdr:spPr>
        <a:xfrm>
          <a:off x="11264899" y="2295071"/>
          <a:ext cx="3225803" cy="4771573"/>
        </a:xfrm>
        <a:prstGeom prst="roundRect">
          <a:avLst>
            <a:gd name="adj" fmla="val 86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36286</xdr:colOff>
      <xdr:row>26</xdr:row>
      <xdr:rowOff>76200</xdr:rowOff>
    </xdr:from>
    <xdr:to>
      <xdr:col>18</xdr:col>
      <xdr:colOff>163286</xdr:colOff>
      <xdr:row>37</xdr:row>
      <xdr:rowOff>85272</xdr:rowOff>
    </xdr:to>
    <xdr:graphicFrame macro="">
      <xdr:nvGraphicFramePr>
        <xdr:cNvPr id="28" name="Chart 27">
          <a:extLst>
            <a:ext uri="{FF2B5EF4-FFF2-40B4-BE49-F238E27FC236}">
              <a16:creationId xmlns:a16="http://schemas.microsoft.com/office/drawing/2014/main" id="{E76BA396-9B84-4B39-ABB3-52520979C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292100</xdr:colOff>
      <xdr:row>24</xdr:row>
      <xdr:rowOff>139700</xdr:rowOff>
    </xdr:from>
    <xdr:to>
      <xdr:col>24</xdr:col>
      <xdr:colOff>25400</xdr:colOff>
      <xdr:row>36</xdr:row>
      <xdr:rowOff>114300</xdr:rowOff>
    </xdr:to>
    <xdr:graphicFrame macro="">
      <xdr:nvGraphicFramePr>
        <xdr:cNvPr id="30" name="Chart 29">
          <a:extLst>
            <a:ext uri="{FF2B5EF4-FFF2-40B4-BE49-F238E27FC236}">
              <a16:creationId xmlns:a16="http://schemas.microsoft.com/office/drawing/2014/main" id="{16E55A6E-C465-4402-BE9A-0CD15C2D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76203</xdr:colOff>
      <xdr:row>12</xdr:row>
      <xdr:rowOff>21771</xdr:rowOff>
    </xdr:from>
    <xdr:to>
      <xdr:col>6</xdr:col>
      <xdr:colOff>520700</xdr:colOff>
      <xdr:row>37</xdr:row>
      <xdr:rowOff>30844</xdr:rowOff>
    </xdr:to>
    <xdr:sp macro="" textlink="">
      <xdr:nvSpPr>
        <xdr:cNvPr id="33" name="Rectangle: Rounded Corners 32">
          <a:extLst>
            <a:ext uri="{FF2B5EF4-FFF2-40B4-BE49-F238E27FC236}">
              <a16:creationId xmlns:a16="http://schemas.microsoft.com/office/drawing/2014/main" id="{32324532-B5E9-3EE8-7C67-7090D8D51761}"/>
            </a:ext>
          </a:extLst>
        </xdr:cNvPr>
        <xdr:cNvSpPr/>
      </xdr:nvSpPr>
      <xdr:spPr>
        <a:xfrm>
          <a:off x="685803" y="2307771"/>
          <a:ext cx="3492497" cy="4771573"/>
        </a:xfrm>
        <a:prstGeom prst="roundRect">
          <a:avLst>
            <a:gd name="adj" fmla="val 86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241300</xdr:colOff>
      <xdr:row>12</xdr:row>
      <xdr:rowOff>127000</xdr:rowOff>
    </xdr:from>
    <xdr:to>
      <xdr:col>6</xdr:col>
      <xdr:colOff>355600</xdr:colOff>
      <xdr:row>36</xdr:row>
      <xdr:rowOff>127000</xdr:rowOff>
    </xdr:to>
    <xdr:graphicFrame macro="">
      <xdr:nvGraphicFramePr>
        <xdr:cNvPr id="35" name="Chart 34">
          <a:extLst>
            <a:ext uri="{FF2B5EF4-FFF2-40B4-BE49-F238E27FC236}">
              <a16:creationId xmlns:a16="http://schemas.microsoft.com/office/drawing/2014/main" id="{55101651-9BFB-4D65-9A1A-CA4D271E6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165100</xdr:colOff>
      <xdr:row>13</xdr:row>
      <xdr:rowOff>12700</xdr:rowOff>
    </xdr:from>
    <xdr:to>
      <xdr:col>18</xdr:col>
      <xdr:colOff>50800</xdr:colOff>
      <xdr:row>26</xdr:row>
      <xdr:rowOff>63500</xdr:rowOff>
    </xdr:to>
    <xdr:graphicFrame macro="">
      <xdr:nvGraphicFramePr>
        <xdr:cNvPr id="36" name="Chart 35">
          <a:extLst>
            <a:ext uri="{FF2B5EF4-FFF2-40B4-BE49-F238E27FC236}">
              <a16:creationId xmlns:a16="http://schemas.microsoft.com/office/drawing/2014/main" id="{321D95A7-F60B-4347-972E-72065E7A2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212280</xdr:colOff>
      <xdr:row>25</xdr:row>
      <xdr:rowOff>68939</xdr:rowOff>
    </xdr:from>
    <xdr:to>
      <xdr:col>11</xdr:col>
      <xdr:colOff>332014</xdr:colOff>
      <xdr:row>27</xdr:row>
      <xdr:rowOff>114296</xdr:rowOff>
    </xdr:to>
    <xdr:sp macro="" textlink="">
      <xdr:nvSpPr>
        <xdr:cNvPr id="37" name="TextBox 36">
          <a:extLst>
            <a:ext uri="{FF2B5EF4-FFF2-40B4-BE49-F238E27FC236}">
              <a16:creationId xmlns:a16="http://schemas.microsoft.com/office/drawing/2014/main" id="{E9C87366-D18E-F7D9-7910-D8F606E73E86}"/>
            </a:ext>
          </a:extLst>
        </xdr:cNvPr>
        <xdr:cNvSpPr txBox="1"/>
      </xdr:nvSpPr>
      <xdr:spPr>
        <a:xfrm>
          <a:off x="4479480" y="4831439"/>
          <a:ext cx="255813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2">
                  <a:lumMod val="40000"/>
                  <a:lumOff val="60000"/>
                </a:schemeClr>
              </a:solidFill>
            </a:rPr>
            <a:t>Attrition</a:t>
          </a:r>
          <a:r>
            <a:rPr lang="en-US" sz="1400" b="0" baseline="0">
              <a:solidFill>
                <a:schemeClr val="tx2">
                  <a:lumMod val="40000"/>
                  <a:lumOff val="60000"/>
                </a:schemeClr>
              </a:solidFill>
            </a:rPr>
            <a:t> rate by department</a:t>
          </a:r>
          <a:endParaRPr lang="en-US" sz="1800" b="0">
            <a:solidFill>
              <a:schemeClr val="tx2">
                <a:lumMod val="40000"/>
                <a:lumOff val="60000"/>
              </a:schemeClr>
            </a:solidFill>
          </a:endParaRPr>
        </a:p>
      </xdr:txBody>
    </xdr:sp>
    <xdr:clientData/>
  </xdr:twoCellAnchor>
  <xdr:twoCellAnchor>
    <xdr:from>
      <xdr:col>7</xdr:col>
      <xdr:colOff>212280</xdr:colOff>
      <xdr:row>12</xdr:row>
      <xdr:rowOff>30839</xdr:rowOff>
    </xdr:from>
    <xdr:to>
      <xdr:col>11</xdr:col>
      <xdr:colOff>332014</xdr:colOff>
      <xdr:row>14</xdr:row>
      <xdr:rowOff>76196</xdr:rowOff>
    </xdr:to>
    <xdr:sp macro="" textlink="">
      <xdr:nvSpPr>
        <xdr:cNvPr id="38" name="TextBox 37">
          <a:extLst>
            <a:ext uri="{FF2B5EF4-FFF2-40B4-BE49-F238E27FC236}">
              <a16:creationId xmlns:a16="http://schemas.microsoft.com/office/drawing/2014/main" id="{D2D10648-6452-651B-DDCB-CDA884625CC7}"/>
            </a:ext>
          </a:extLst>
        </xdr:cNvPr>
        <xdr:cNvSpPr txBox="1"/>
      </xdr:nvSpPr>
      <xdr:spPr>
        <a:xfrm>
          <a:off x="4479480" y="2316839"/>
          <a:ext cx="255813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2">
                  <a:lumMod val="40000"/>
                  <a:lumOff val="60000"/>
                </a:schemeClr>
              </a:solidFill>
            </a:rPr>
            <a:t>Average Salary</a:t>
          </a:r>
          <a:r>
            <a:rPr lang="en-US" sz="1400" b="0" baseline="0">
              <a:solidFill>
                <a:schemeClr val="tx2">
                  <a:lumMod val="40000"/>
                  <a:lumOff val="60000"/>
                </a:schemeClr>
              </a:solidFill>
            </a:rPr>
            <a:t> by Department</a:t>
          </a:r>
          <a:endParaRPr lang="en-US" sz="1800" b="0">
            <a:solidFill>
              <a:schemeClr val="tx2">
                <a:lumMod val="40000"/>
                <a:lumOff val="60000"/>
              </a:schemeClr>
            </a:solidFill>
          </a:endParaRPr>
        </a:p>
      </xdr:txBody>
    </xdr:sp>
    <xdr:clientData/>
  </xdr:twoCellAnchor>
  <xdr:twoCellAnchor>
    <xdr:from>
      <xdr:col>18</xdr:col>
      <xdr:colOff>275780</xdr:colOff>
      <xdr:row>24</xdr:row>
      <xdr:rowOff>132439</xdr:rowOff>
    </xdr:from>
    <xdr:to>
      <xdr:col>22</xdr:col>
      <xdr:colOff>395514</xdr:colOff>
      <xdr:row>26</xdr:row>
      <xdr:rowOff>177796</xdr:rowOff>
    </xdr:to>
    <xdr:sp macro="" textlink="">
      <xdr:nvSpPr>
        <xdr:cNvPr id="39" name="TextBox 38">
          <a:extLst>
            <a:ext uri="{FF2B5EF4-FFF2-40B4-BE49-F238E27FC236}">
              <a16:creationId xmlns:a16="http://schemas.microsoft.com/office/drawing/2014/main" id="{BC0CDC91-54DD-B3DD-BEF6-C67D4641DB1A}"/>
            </a:ext>
          </a:extLst>
        </xdr:cNvPr>
        <xdr:cNvSpPr txBox="1"/>
      </xdr:nvSpPr>
      <xdr:spPr>
        <a:xfrm>
          <a:off x="11248580" y="4704439"/>
          <a:ext cx="255813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2">
                  <a:lumMod val="40000"/>
                  <a:lumOff val="60000"/>
                </a:schemeClr>
              </a:solidFill>
            </a:rPr>
            <a:t>Average</a:t>
          </a:r>
          <a:r>
            <a:rPr lang="en-US" sz="1400" b="0" baseline="0">
              <a:solidFill>
                <a:schemeClr val="tx2">
                  <a:lumMod val="40000"/>
                  <a:lumOff val="60000"/>
                </a:schemeClr>
              </a:solidFill>
            </a:rPr>
            <a:t> Performance Score</a:t>
          </a:r>
          <a:endParaRPr lang="en-US" sz="1800" b="0">
            <a:solidFill>
              <a:schemeClr val="tx2">
                <a:lumMod val="40000"/>
                <a:lumOff val="60000"/>
              </a:schemeClr>
            </a:solidFill>
          </a:endParaRPr>
        </a:p>
      </xdr:txBody>
    </xdr:sp>
    <xdr:clientData/>
  </xdr:twoCellAnchor>
  <xdr:twoCellAnchor>
    <xdr:from>
      <xdr:col>18</xdr:col>
      <xdr:colOff>390080</xdr:colOff>
      <xdr:row>12</xdr:row>
      <xdr:rowOff>94339</xdr:rowOff>
    </xdr:from>
    <xdr:to>
      <xdr:col>22</xdr:col>
      <xdr:colOff>509814</xdr:colOff>
      <xdr:row>14</xdr:row>
      <xdr:rowOff>139696</xdr:rowOff>
    </xdr:to>
    <xdr:sp macro="" textlink="">
      <xdr:nvSpPr>
        <xdr:cNvPr id="40" name="TextBox 39">
          <a:extLst>
            <a:ext uri="{FF2B5EF4-FFF2-40B4-BE49-F238E27FC236}">
              <a16:creationId xmlns:a16="http://schemas.microsoft.com/office/drawing/2014/main" id="{0A0DC534-6304-14A8-0A8B-FFB03FE298B5}"/>
            </a:ext>
          </a:extLst>
        </xdr:cNvPr>
        <xdr:cNvSpPr txBox="1"/>
      </xdr:nvSpPr>
      <xdr:spPr>
        <a:xfrm>
          <a:off x="11362880" y="2380339"/>
          <a:ext cx="255813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2">
                  <a:lumMod val="40000"/>
                  <a:lumOff val="60000"/>
                </a:schemeClr>
              </a:solidFill>
            </a:rPr>
            <a:t>Bonus Payout</a:t>
          </a:r>
          <a:r>
            <a:rPr lang="en-US" sz="1400" b="0" baseline="0">
              <a:solidFill>
                <a:schemeClr val="tx2">
                  <a:lumMod val="40000"/>
                  <a:lumOff val="60000"/>
                </a:schemeClr>
              </a:solidFill>
            </a:rPr>
            <a:t> by Performance</a:t>
          </a:r>
          <a:endParaRPr lang="en-US" sz="1800" b="0">
            <a:solidFill>
              <a:schemeClr val="tx2">
                <a:lumMod val="40000"/>
                <a:lumOff val="60000"/>
              </a:schemeClr>
            </a:solidFill>
          </a:endParaRPr>
        </a:p>
      </xdr:txBody>
    </xdr:sp>
    <xdr:clientData/>
  </xdr:twoCellAnchor>
  <xdr:twoCellAnchor>
    <xdr:from>
      <xdr:col>1</xdr:col>
      <xdr:colOff>212280</xdr:colOff>
      <xdr:row>12</xdr:row>
      <xdr:rowOff>107039</xdr:rowOff>
    </xdr:from>
    <xdr:to>
      <xdr:col>6</xdr:col>
      <xdr:colOff>292100</xdr:colOff>
      <xdr:row>14</xdr:row>
      <xdr:rowOff>152400</xdr:rowOff>
    </xdr:to>
    <xdr:sp macro="" textlink="">
      <xdr:nvSpPr>
        <xdr:cNvPr id="41" name="TextBox 40">
          <a:extLst>
            <a:ext uri="{FF2B5EF4-FFF2-40B4-BE49-F238E27FC236}">
              <a16:creationId xmlns:a16="http://schemas.microsoft.com/office/drawing/2014/main" id="{E3E49711-DE4F-C802-49CE-7C1CC0ADECAA}"/>
            </a:ext>
          </a:extLst>
        </xdr:cNvPr>
        <xdr:cNvSpPr txBox="1"/>
      </xdr:nvSpPr>
      <xdr:spPr>
        <a:xfrm>
          <a:off x="821880" y="2393039"/>
          <a:ext cx="3127820" cy="426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2">
                  <a:lumMod val="40000"/>
                  <a:lumOff val="60000"/>
                </a:schemeClr>
              </a:solidFill>
            </a:rPr>
            <a:t>Number of Employees by Deparment</a:t>
          </a:r>
          <a:endParaRPr lang="en-US" sz="1800" b="0">
            <a:solidFill>
              <a:schemeClr val="tx2">
                <a:lumMod val="40000"/>
                <a:lumOff val="60000"/>
              </a:schemeClr>
            </a:solidFill>
          </a:endParaRPr>
        </a:p>
      </xdr:txBody>
    </xdr:sp>
    <xdr:clientData/>
  </xdr:twoCellAnchor>
  <xdr:twoCellAnchor>
    <xdr:from>
      <xdr:col>2</xdr:col>
      <xdr:colOff>18136</xdr:colOff>
      <xdr:row>6</xdr:row>
      <xdr:rowOff>63508</xdr:rowOff>
    </xdr:from>
    <xdr:to>
      <xdr:col>3</xdr:col>
      <xdr:colOff>580564</xdr:colOff>
      <xdr:row>9</xdr:row>
      <xdr:rowOff>36294</xdr:rowOff>
    </xdr:to>
    <xdr:sp macro="" textlink="Totalemp">
      <xdr:nvSpPr>
        <xdr:cNvPr id="42" name="TextBox 41">
          <a:extLst>
            <a:ext uri="{FF2B5EF4-FFF2-40B4-BE49-F238E27FC236}">
              <a16:creationId xmlns:a16="http://schemas.microsoft.com/office/drawing/2014/main" id="{AC459BCA-7FFD-E521-458C-00C71AE22226}"/>
            </a:ext>
          </a:extLst>
        </xdr:cNvPr>
        <xdr:cNvSpPr txBox="1"/>
      </xdr:nvSpPr>
      <xdr:spPr>
        <a:xfrm>
          <a:off x="1233707" y="1152079"/>
          <a:ext cx="1170214"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BAEEB0-3FBF-4B70-9A54-17EF529B8025}" type="TxLink">
            <a:rPr lang="en-US" sz="3200" b="0" i="0" u="none" strike="noStrike">
              <a:solidFill>
                <a:srgbClr val="000000"/>
              </a:solidFill>
              <a:latin typeface="Calibri"/>
              <a:ea typeface="+mn-ea"/>
              <a:cs typeface="Calibri"/>
            </a:rPr>
            <a:pPr marL="0" indent="0"/>
            <a:t>150</a:t>
          </a:fld>
          <a:endParaRPr lang="en-US" sz="3200" b="0" i="0" u="none" strike="noStrike">
            <a:solidFill>
              <a:srgbClr val="000000"/>
            </a:solidFill>
            <a:latin typeface="Calibri"/>
            <a:ea typeface="+mn-ea"/>
            <a:cs typeface="Calibri"/>
          </a:endParaRPr>
        </a:p>
      </xdr:txBody>
    </xdr:sp>
    <xdr:clientData/>
  </xdr:twoCellAnchor>
  <xdr:twoCellAnchor>
    <xdr:from>
      <xdr:col>5</xdr:col>
      <xdr:colOff>180200</xdr:colOff>
      <xdr:row>6</xdr:row>
      <xdr:rowOff>56264</xdr:rowOff>
    </xdr:from>
    <xdr:to>
      <xdr:col>7</xdr:col>
      <xdr:colOff>134843</xdr:colOff>
      <xdr:row>9</xdr:row>
      <xdr:rowOff>29050</xdr:rowOff>
    </xdr:to>
    <xdr:sp macro="" textlink="attriterate">
      <xdr:nvSpPr>
        <xdr:cNvPr id="46" name="TextBox 45">
          <a:extLst>
            <a:ext uri="{FF2B5EF4-FFF2-40B4-BE49-F238E27FC236}">
              <a16:creationId xmlns:a16="http://schemas.microsoft.com/office/drawing/2014/main" id="{8F5EFC8C-2FF8-7564-F0DD-69FF45446DD2}"/>
            </a:ext>
          </a:extLst>
        </xdr:cNvPr>
        <xdr:cNvSpPr txBox="1"/>
      </xdr:nvSpPr>
      <xdr:spPr>
        <a:xfrm>
          <a:off x="3249367" y="1135764"/>
          <a:ext cx="1182309"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C229E4-30F1-4601-AB21-B8617940386D}" type="TxLink">
            <a:rPr lang="en-US" sz="3200" b="0" i="0" u="none" strike="noStrike">
              <a:solidFill>
                <a:srgbClr val="000000"/>
              </a:solidFill>
              <a:latin typeface="Calibri"/>
              <a:ea typeface="+mn-ea"/>
              <a:cs typeface="Calibri"/>
            </a:rPr>
            <a:pPr marL="0" indent="0"/>
            <a:t>22%</a:t>
          </a:fld>
          <a:endParaRPr lang="en-US" sz="3200" b="0" i="0" u="none" strike="noStrike">
            <a:solidFill>
              <a:srgbClr val="000000"/>
            </a:solidFill>
            <a:latin typeface="Calibri"/>
            <a:ea typeface="+mn-ea"/>
            <a:cs typeface="Calibri"/>
          </a:endParaRPr>
        </a:p>
      </xdr:txBody>
    </xdr:sp>
    <xdr:clientData/>
  </xdr:twoCellAnchor>
  <xdr:twoCellAnchor>
    <xdr:from>
      <xdr:col>8</xdr:col>
      <xdr:colOff>427552</xdr:colOff>
      <xdr:row>6</xdr:row>
      <xdr:rowOff>54453</xdr:rowOff>
    </xdr:from>
    <xdr:to>
      <xdr:col>10</xdr:col>
      <xdr:colOff>388546</xdr:colOff>
      <xdr:row>9</xdr:row>
      <xdr:rowOff>27239</xdr:rowOff>
    </xdr:to>
    <xdr:sp macro="" textlink="avgscore">
      <xdr:nvSpPr>
        <xdr:cNvPr id="47" name="TextBox 46">
          <a:extLst>
            <a:ext uri="{FF2B5EF4-FFF2-40B4-BE49-F238E27FC236}">
              <a16:creationId xmlns:a16="http://schemas.microsoft.com/office/drawing/2014/main" id="{1A70A5A2-4C2B-758C-F23A-0905E1A75A3D}"/>
            </a:ext>
          </a:extLst>
        </xdr:cNvPr>
        <xdr:cNvSpPr txBox="1"/>
      </xdr:nvSpPr>
      <xdr:spPr>
        <a:xfrm>
          <a:off x="5338219" y="1133953"/>
          <a:ext cx="1188660"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1DA3E0-DF7A-471D-BCA9-3CC2AE7218FD}" type="TxLink">
            <a:rPr lang="en-US" sz="3200" b="0" i="0" u="none" strike="noStrike">
              <a:solidFill>
                <a:srgbClr val="000000"/>
              </a:solidFill>
              <a:latin typeface="Calibri"/>
              <a:ea typeface="+mn-ea"/>
              <a:cs typeface="Calibri"/>
            </a:rPr>
            <a:pPr marL="0" indent="0"/>
            <a:t>68</a:t>
          </a:fld>
          <a:endParaRPr lang="en-US" sz="3200" b="0" i="0" u="none" strike="noStrike">
            <a:solidFill>
              <a:srgbClr val="000000"/>
            </a:solidFill>
            <a:latin typeface="Calibri"/>
            <a:ea typeface="+mn-ea"/>
            <a:cs typeface="Calibri"/>
          </a:endParaRPr>
        </a:p>
      </xdr:txBody>
    </xdr:sp>
    <xdr:clientData/>
  </xdr:twoCellAnchor>
  <xdr:twoCellAnchor>
    <xdr:from>
      <xdr:col>11</xdr:col>
      <xdr:colOff>238572</xdr:colOff>
      <xdr:row>6</xdr:row>
      <xdr:rowOff>52642</xdr:rowOff>
    </xdr:from>
    <xdr:to>
      <xdr:col>14</xdr:col>
      <xdr:colOff>13622</xdr:colOff>
      <xdr:row>9</xdr:row>
      <xdr:rowOff>25428</xdr:rowOff>
    </xdr:to>
    <xdr:sp macro="" textlink="sumbonus">
      <xdr:nvSpPr>
        <xdr:cNvPr id="48" name="TextBox 47">
          <a:extLst>
            <a:ext uri="{FF2B5EF4-FFF2-40B4-BE49-F238E27FC236}">
              <a16:creationId xmlns:a16="http://schemas.microsoft.com/office/drawing/2014/main" id="{907B5098-4A5D-BA40-5FFA-2BB377169931}"/>
            </a:ext>
          </a:extLst>
        </xdr:cNvPr>
        <xdr:cNvSpPr txBox="1"/>
      </xdr:nvSpPr>
      <xdr:spPr>
        <a:xfrm>
          <a:off x="6990739" y="1132142"/>
          <a:ext cx="1616550"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06CE79-22CA-48A6-949E-DC6D4AEEEA72}" type="TxLink">
            <a:rPr lang="en-US" sz="3200" b="0" i="0" u="none" strike="noStrike">
              <a:solidFill>
                <a:srgbClr val="000000"/>
              </a:solidFill>
              <a:latin typeface="Calibri"/>
              <a:ea typeface="+mn-ea"/>
              <a:cs typeface="Calibri"/>
            </a:rPr>
            <a:pPr marL="0" indent="0"/>
            <a:t>$486.9k</a:t>
          </a:fld>
          <a:endParaRPr lang="en-US" sz="3200" b="0" i="0" u="none" strike="noStrike">
            <a:solidFill>
              <a:srgbClr val="000000"/>
            </a:solidFill>
            <a:latin typeface="Calibri"/>
            <a:ea typeface="+mn-ea"/>
            <a:cs typeface="Calibri"/>
          </a:endParaRPr>
        </a:p>
      </xdr:txBody>
    </xdr:sp>
    <xdr:clientData/>
  </xdr:twoCellAnchor>
  <xdr:twoCellAnchor editAs="oneCell">
    <xdr:from>
      <xdr:col>6</xdr:col>
      <xdr:colOff>326571</xdr:colOff>
      <xdr:row>2</xdr:row>
      <xdr:rowOff>46868</xdr:rowOff>
    </xdr:from>
    <xdr:to>
      <xdr:col>18</xdr:col>
      <xdr:colOff>49893</xdr:colOff>
      <xdr:row>4</xdr:row>
      <xdr:rowOff>95249</xdr:rowOff>
    </xdr:to>
    <mc:AlternateContent xmlns:mc="http://schemas.openxmlformats.org/markup-compatibility/2006">
      <mc:Choice xmlns:a14="http://schemas.microsoft.com/office/drawing/2010/main" Requires="a14">
        <xdr:graphicFrame macro="">
          <xdr:nvGraphicFramePr>
            <xdr:cNvPr id="5" name="Departmental Name">
              <a:extLst>
                <a:ext uri="{FF2B5EF4-FFF2-40B4-BE49-F238E27FC236}">
                  <a16:creationId xmlns:a16="http://schemas.microsoft.com/office/drawing/2014/main" id="{EB6F1AD8-159F-49FB-B26F-C6A7E78145FC}"/>
                </a:ext>
              </a:extLst>
            </xdr:cNvPr>
            <xdr:cNvGraphicFramePr/>
          </xdr:nvGraphicFramePr>
          <xdr:xfrm>
            <a:off x="0" y="0"/>
            <a:ext cx="0" cy="0"/>
          </xdr:xfrm>
          <a:graphic>
            <a:graphicData uri="http://schemas.microsoft.com/office/drawing/2010/slicer">
              <sle:slicer xmlns:sle="http://schemas.microsoft.com/office/drawing/2010/slicer" name="Departmental Name"/>
            </a:graphicData>
          </a:graphic>
        </xdr:graphicFrame>
      </mc:Choice>
      <mc:Fallback>
        <xdr:sp macro="" textlink="">
          <xdr:nvSpPr>
            <xdr:cNvPr id="0" name=""/>
            <xdr:cNvSpPr>
              <a:spLocks noTextEdit="1"/>
            </xdr:cNvSpPr>
          </xdr:nvSpPr>
          <xdr:spPr>
            <a:xfrm>
              <a:off x="3973285" y="409725"/>
              <a:ext cx="7016751" cy="411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145143</xdr:colOff>
      <xdr:row>2</xdr:row>
      <xdr:rowOff>45356</xdr:rowOff>
    </xdr:from>
    <xdr:to>
      <xdr:col>23</xdr:col>
      <xdr:colOff>241301</xdr:colOff>
      <xdr:row>4</xdr:row>
      <xdr:rowOff>95249</xdr:rowOff>
    </xdr:to>
    <mc:AlternateContent xmlns:mc="http://schemas.openxmlformats.org/markup-compatibility/2006">
      <mc:Choice xmlns:a14="http://schemas.microsoft.com/office/drawing/2010/main" Requires="a14">
        <xdr:graphicFrame macro="">
          <xdr:nvGraphicFramePr>
            <xdr:cNvPr id="6" name="Clean Employment Status">
              <a:extLst>
                <a:ext uri="{FF2B5EF4-FFF2-40B4-BE49-F238E27FC236}">
                  <a16:creationId xmlns:a16="http://schemas.microsoft.com/office/drawing/2014/main" id="{A582BA08-4F3B-4CAF-AA91-C37B29105A5C}"/>
                </a:ext>
              </a:extLst>
            </xdr:cNvPr>
            <xdr:cNvGraphicFramePr/>
          </xdr:nvGraphicFramePr>
          <xdr:xfrm>
            <a:off x="0" y="0"/>
            <a:ext cx="0" cy="0"/>
          </xdr:xfrm>
          <a:graphic>
            <a:graphicData uri="http://schemas.microsoft.com/office/drawing/2010/slicer">
              <sle:slicer xmlns:sle="http://schemas.microsoft.com/office/drawing/2010/slicer" name="Clean Employment Status"/>
            </a:graphicData>
          </a:graphic>
        </xdr:graphicFrame>
      </mc:Choice>
      <mc:Fallback>
        <xdr:sp macro="" textlink="">
          <xdr:nvSpPr>
            <xdr:cNvPr id="0" name=""/>
            <xdr:cNvSpPr>
              <a:spLocks noTextEdit="1"/>
            </xdr:cNvSpPr>
          </xdr:nvSpPr>
          <xdr:spPr>
            <a:xfrm>
              <a:off x="11085286" y="408213"/>
              <a:ext cx="3135086" cy="41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352868</xdr:colOff>
      <xdr:row>6</xdr:row>
      <xdr:rowOff>35706</xdr:rowOff>
    </xdr:from>
    <xdr:to>
      <xdr:col>17</xdr:col>
      <xdr:colOff>134268</xdr:colOff>
      <xdr:row>9</xdr:row>
      <xdr:rowOff>8492</xdr:rowOff>
    </xdr:to>
    <xdr:sp macro="" textlink="Avgsalary">
      <xdr:nvSpPr>
        <xdr:cNvPr id="7" name="TextBox 6">
          <a:extLst>
            <a:ext uri="{FF2B5EF4-FFF2-40B4-BE49-F238E27FC236}">
              <a16:creationId xmlns:a16="http://schemas.microsoft.com/office/drawing/2014/main" id="{B5BC50EB-F329-AC57-B1D8-281A18E8E864}"/>
            </a:ext>
          </a:extLst>
        </xdr:cNvPr>
        <xdr:cNvSpPr txBox="1"/>
      </xdr:nvSpPr>
      <xdr:spPr>
        <a:xfrm>
          <a:off x="8946535" y="1115206"/>
          <a:ext cx="1622900"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E037E0-48AC-4347-B087-70C03BB1280D}" type="TxLink">
            <a:rPr lang="en-US" sz="3200" b="0" i="0" u="none" strike="noStrike">
              <a:solidFill>
                <a:srgbClr val="000000"/>
              </a:solidFill>
              <a:latin typeface="Calibri"/>
              <a:ea typeface="+mn-ea"/>
              <a:cs typeface="Calibri"/>
            </a:rPr>
            <a:pPr marL="0" indent="0"/>
            <a:t>$83.6k</a:t>
          </a:fld>
          <a:endParaRPr lang="en-US" sz="3200" b="0" i="0" u="none" strike="noStrike">
            <a:solidFill>
              <a:srgbClr val="000000"/>
            </a:solidFill>
            <a:latin typeface="Calibri"/>
            <a:ea typeface="+mn-ea"/>
            <a:cs typeface="Calibri"/>
          </a:endParaRPr>
        </a:p>
      </xdr:txBody>
    </xdr:sp>
    <xdr:clientData/>
  </xdr:twoCellAnchor>
  <xdr:twoCellAnchor>
    <xdr:from>
      <xdr:col>14</xdr:col>
      <xdr:colOff>153039</xdr:colOff>
      <xdr:row>5</xdr:row>
      <xdr:rowOff>59265</xdr:rowOff>
    </xdr:from>
    <xdr:to>
      <xdr:col>17</xdr:col>
      <xdr:colOff>76826</xdr:colOff>
      <xdr:row>7</xdr:row>
      <xdr:rowOff>42334</xdr:rowOff>
    </xdr:to>
    <xdr:sp macro="" textlink="">
      <xdr:nvSpPr>
        <xdr:cNvPr id="8" name="TextBox 7">
          <a:extLst>
            <a:ext uri="{FF2B5EF4-FFF2-40B4-BE49-F238E27FC236}">
              <a16:creationId xmlns:a16="http://schemas.microsoft.com/office/drawing/2014/main" id="{B2EFFB58-7BEB-D7F0-B084-217953FB50B5}"/>
            </a:ext>
          </a:extLst>
        </xdr:cNvPr>
        <xdr:cNvSpPr txBox="1"/>
      </xdr:nvSpPr>
      <xdr:spPr>
        <a:xfrm>
          <a:off x="8746706" y="958848"/>
          <a:ext cx="1765287" cy="34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Average Salary</a:t>
          </a:r>
          <a:endParaRPr lang="en-US" sz="1800" b="1">
            <a:solidFill>
              <a:schemeClr val="tx1"/>
            </a:solidFill>
          </a:endParaRPr>
        </a:p>
      </xdr:txBody>
    </xdr:sp>
    <xdr:clientData/>
  </xdr:twoCellAnchor>
  <xdr:twoCellAnchor>
    <xdr:from>
      <xdr:col>17</xdr:col>
      <xdr:colOff>568767</xdr:colOff>
      <xdr:row>6</xdr:row>
      <xdr:rowOff>39940</xdr:rowOff>
    </xdr:from>
    <xdr:to>
      <xdr:col>20</xdr:col>
      <xdr:colOff>350167</xdr:colOff>
      <xdr:row>9</xdr:row>
      <xdr:rowOff>12726</xdr:rowOff>
    </xdr:to>
    <xdr:sp macro="" textlink="Totalsalary">
      <xdr:nvSpPr>
        <xdr:cNvPr id="9" name="TextBox 8">
          <a:extLst>
            <a:ext uri="{FF2B5EF4-FFF2-40B4-BE49-F238E27FC236}">
              <a16:creationId xmlns:a16="http://schemas.microsoft.com/office/drawing/2014/main" id="{4683C73B-7C4E-C1EA-658D-7CC55503CB64}"/>
            </a:ext>
          </a:extLst>
        </xdr:cNvPr>
        <xdr:cNvSpPr txBox="1"/>
      </xdr:nvSpPr>
      <xdr:spPr>
        <a:xfrm>
          <a:off x="11003934" y="1119440"/>
          <a:ext cx="1622900"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D3FDA8-9442-403C-A81D-908D62A03D43}" type="TxLink">
            <a:rPr lang="en-US" sz="3200" b="0" i="0" u="none" strike="noStrike">
              <a:solidFill>
                <a:srgbClr val="000000"/>
              </a:solidFill>
              <a:latin typeface="Calibri"/>
              <a:ea typeface="+mn-ea"/>
              <a:cs typeface="Calibri"/>
            </a:rPr>
            <a:pPr marL="0" indent="0"/>
            <a:t>$12.5m</a:t>
          </a:fld>
          <a:endParaRPr lang="en-US" sz="3200" b="0" i="0" u="none" strike="noStrike">
            <a:solidFill>
              <a:srgbClr val="000000"/>
            </a:solidFill>
            <a:latin typeface="Calibri"/>
            <a:ea typeface="+mn-ea"/>
            <a:cs typeface="Calibri"/>
          </a:endParaRPr>
        </a:p>
      </xdr:txBody>
    </xdr:sp>
    <xdr:clientData/>
  </xdr:twoCellAnchor>
  <xdr:twoCellAnchor>
    <xdr:from>
      <xdr:col>17</xdr:col>
      <xdr:colOff>326604</xdr:colOff>
      <xdr:row>5</xdr:row>
      <xdr:rowOff>63500</xdr:rowOff>
    </xdr:from>
    <xdr:to>
      <xdr:col>20</xdr:col>
      <xdr:colOff>250391</xdr:colOff>
      <xdr:row>7</xdr:row>
      <xdr:rowOff>0</xdr:rowOff>
    </xdr:to>
    <xdr:sp macro="" textlink="">
      <xdr:nvSpPr>
        <xdr:cNvPr id="24" name="TextBox 23">
          <a:extLst>
            <a:ext uri="{FF2B5EF4-FFF2-40B4-BE49-F238E27FC236}">
              <a16:creationId xmlns:a16="http://schemas.microsoft.com/office/drawing/2014/main" id="{85DCC244-8BDE-ED35-D92E-095FDBB902F9}"/>
            </a:ext>
          </a:extLst>
        </xdr:cNvPr>
        <xdr:cNvSpPr txBox="1"/>
      </xdr:nvSpPr>
      <xdr:spPr>
        <a:xfrm>
          <a:off x="10761771" y="963083"/>
          <a:ext cx="1765287"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 Salary</a:t>
          </a:r>
          <a:endParaRPr lang="en-US" sz="1800" b="1">
            <a:solidFill>
              <a:schemeClr val="tx1"/>
            </a:solidFill>
          </a:endParaRPr>
        </a:p>
      </xdr:txBody>
    </xdr:sp>
    <xdr:clientData/>
  </xdr:twoCellAnchor>
  <xdr:twoCellAnchor>
    <xdr:from>
      <xdr:col>20</xdr:col>
      <xdr:colOff>426082</xdr:colOff>
      <xdr:row>5</xdr:row>
      <xdr:rowOff>57151</xdr:rowOff>
    </xdr:from>
    <xdr:to>
      <xdr:col>23</xdr:col>
      <xdr:colOff>349869</xdr:colOff>
      <xdr:row>6</xdr:row>
      <xdr:rowOff>173568</xdr:rowOff>
    </xdr:to>
    <xdr:sp macro="" textlink="">
      <xdr:nvSpPr>
        <xdr:cNvPr id="26" name="TextBox 25">
          <a:extLst>
            <a:ext uri="{FF2B5EF4-FFF2-40B4-BE49-F238E27FC236}">
              <a16:creationId xmlns:a16="http://schemas.microsoft.com/office/drawing/2014/main" id="{C49EAF05-A306-F7F5-98BF-5259595F4B9C}"/>
            </a:ext>
          </a:extLst>
        </xdr:cNvPr>
        <xdr:cNvSpPr txBox="1"/>
      </xdr:nvSpPr>
      <xdr:spPr>
        <a:xfrm>
          <a:off x="12702749" y="956734"/>
          <a:ext cx="1765287"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a:t>
          </a:r>
          <a:r>
            <a:rPr lang="en-US" sz="1400" b="1" baseline="0">
              <a:solidFill>
                <a:schemeClr val="tx1"/>
              </a:solidFill>
            </a:rPr>
            <a:t> Dept</a:t>
          </a:r>
          <a:endParaRPr lang="en-US" sz="1800" b="1">
            <a:solidFill>
              <a:schemeClr val="tx1"/>
            </a:solidFill>
          </a:endParaRPr>
        </a:p>
      </xdr:txBody>
    </xdr:sp>
    <xdr:clientData/>
  </xdr:twoCellAnchor>
  <xdr:twoCellAnchor>
    <xdr:from>
      <xdr:col>21</xdr:col>
      <xdr:colOff>509494</xdr:colOff>
      <xdr:row>6</xdr:row>
      <xdr:rowOff>33591</xdr:rowOff>
    </xdr:from>
    <xdr:to>
      <xdr:col>23</xdr:col>
      <xdr:colOff>4229</xdr:colOff>
      <xdr:row>9</xdr:row>
      <xdr:rowOff>6377</xdr:rowOff>
    </xdr:to>
    <xdr:sp macro="" textlink="">
      <xdr:nvSpPr>
        <xdr:cNvPr id="31" name="TextBox 30">
          <a:extLst>
            <a:ext uri="{FF2B5EF4-FFF2-40B4-BE49-F238E27FC236}">
              <a16:creationId xmlns:a16="http://schemas.microsoft.com/office/drawing/2014/main" id="{03A2E997-C60F-84FC-958A-4404AD298D27}"/>
            </a:ext>
          </a:extLst>
        </xdr:cNvPr>
        <xdr:cNvSpPr txBox="1"/>
      </xdr:nvSpPr>
      <xdr:spPr>
        <a:xfrm>
          <a:off x="13399994" y="1113091"/>
          <a:ext cx="722402"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0" i="0" u="none" strike="noStrike">
              <a:solidFill>
                <a:srgbClr val="000000"/>
              </a:solidFill>
              <a:latin typeface="Calibri"/>
              <a:ea typeface="+mn-ea"/>
              <a:cs typeface="Calibri"/>
            </a:rPr>
            <a:t>6</a:t>
          </a:r>
        </a:p>
      </xdr:txBody>
    </xdr:sp>
    <xdr:clientData/>
  </xdr:twoCellAnchor>
  <xdr:twoCellAnchor>
    <xdr:from>
      <xdr:col>18</xdr:col>
      <xdr:colOff>455084</xdr:colOff>
      <xdr:row>13</xdr:row>
      <xdr:rowOff>84666</xdr:rowOff>
    </xdr:from>
    <xdr:to>
      <xdr:col>23</xdr:col>
      <xdr:colOff>283634</xdr:colOff>
      <xdr:row>25</xdr:row>
      <xdr:rowOff>71966</xdr:rowOff>
    </xdr:to>
    <xdr:graphicFrame macro="">
      <xdr:nvGraphicFramePr>
        <xdr:cNvPr id="32" name="Chart 31">
          <a:extLst>
            <a:ext uri="{FF2B5EF4-FFF2-40B4-BE49-F238E27FC236}">
              <a16:creationId xmlns:a16="http://schemas.microsoft.com/office/drawing/2014/main" id="{674726BC-1772-4FDC-957F-FDBDE94F3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8.784362962964" createdVersion="8" refreshedVersion="8" minRefreshableVersion="3" recordCount="150" xr:uid="{73C125B7-59BB-4A17-A4DC-6F7BFA0F7B78}">
  <cacheSource type="worksheet">
    <worksheetSource ref="A1:O151" sheet="Raw_Employee_Data"/>
  </cacheSource>
  <cacheFields count="15">
    <cacheField name="Emp ID" numFmtId="0">
      <sharedItems/>
    </cacheField>
    <cacheField name="First_Name" numFmtId="49">
      <sharedItems containsBlank="1"/>
    </cacheField>
    <cacheField name="Last_Name" numFmtId="49">
      <sharedItems/>
    </cacheField>
    <cacheField name="Full_Name" numFmtId="0">
      <sharedItems/>
    </cacheField>
    <cacheField name="Dept Code" numFmtId="0">
      <sharedItems/>
    </cacheField>
    <cacheField name="Hire Date" numFmtId="14">
      <sharedItems containsDate="1" containsMixedTypes="1" minDate="2015-01-04T00:00:00" maxDate="2023-12-13T00:00:00"/>
    </cacheField>
    <cacheField name="Departmental Name" numFmtId="14">
      <sharedItems count="6">
        <s v="Information Technology"/>
        <s v="Marketing"/>
        <s v="Finance"/>
        <s v="Operations"/>
        <s v="Sales"/>
        <s v="Human Resources"/>
      </sharedItems>
    </cacheField>
    <cacheField name="Clean Hire Date" numFmtId="14">
      <sharedItems containsSemiMixedTypes="0" containsNonDate="0" containsDate="1" containsString="0" minDate="2015-01-04T00:00:00" maxDate="2023-12-13T00:00:00"/>
    </cacheField>
    <cacheField name="Salary" numFmtId="164">
      <sharedItems containsSemiMixedTypes="0" containsString="0" containsNumber="1" minValue="45196" maxValue="118947"/>
    </cacheField>
    <cacheField name="Perf_Score" numFmtId="1">
      <sharedItems containsSemiMixedTypes="0" containsString="0" containsNumber="1" minValue="30" maxValue="99"/>
    </cacheField>
    <cacheField name="Employment Status" numFmtId="49">
      <sharedItems count="5">
        <s v="Active"/>
        <s v=" Active "/>
        <s v=" Left "/>
        <s v="Left"/>
        <s v="Resigned"/>
      </sharedItems>
    </cacheField>
    <cacheField name="Clean Employment Status" numFmtId="0">
      <sharedItems count="3">
        <s v="Active"/>
        <s v="Left"/>
        <s v="Resigned"/>
      </sharedItems>
    </cacheField>
    <cacheField name="Year of Service" numFmtId="0">
      <sharedItems/>
    </cacheField>
    <cacheField name="Performance Band" numFmtId="0">
      <sharedItems count="5">
        <s v="Developing"/>
        <s v="Achieving"/>
        <s v="Needs Improvement"/>
        <s v="Exceeding"/>
        <s v="Outstanding"/>
      </sharedItems>
    </cacheField>
    <cacheField name="Eligible Bonus Amount" numFmtId="164">
      <sharedItems containsSemiMixedTypes="0" containsString="0" containsNumber="1" minValue="0" maxValue="14273.64"/>
    </cacheField>
  </cacheFields>
  <extLst>
    <ext xmlns:x14="http://schemas.microsoft.com/office/spreadsheetml/2009/9/main" uri="{725AE2AE-9491-48be-B2B4-4EB974FC3084}">
      <x14:pivotCacheDefinition pivotCacheId="1833435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s v="Emily Brown"/>
    <s v="IT02"/>
    <d v="2017-12-24T00:00:00"/>
    <x v="0"/>
    <d v="2017-12-24T00:00:00"/>
    <n v="50361"/>
    <n v="52"/>
    <x v="0"/>
    <x v="0"/>
    <s v="8.53 Years"/>
    <x v="0"/>
    <n v="1007.22"/>
  </r>
  <r>
    <s v="EMP046"/>
    <s v="Richard"/>
    <s v="Hernandez"/>
    <s v="Richard Hernandez"/>
    <s v="MKT04"/>
    <d v="2022-04-08T00:00:00"/>
    <x v="1"/>
    <d v="2022-04-08T00:00:00"/>
    <n v="112673"/>
    <n v="68.08"/>
    <x v="1"/>
    <x v="0"/>
    <s v="4.24 Years"/>
    <x v="0"/>
    <n v="2253.46"/>
  </r>
  <r>
    <s v="EMP134"/>
    <s v="Emily"/>
    <s v="Gonzalez"/>
    <s v="Emily Gonzalez"/>
    <s v="IT02"/>
    <d v="2016-03-02T00:00:00"/>
    <x v="0"/>
    <d v="2016-03-02T00:00:00"/>
    <n v="114425"/>
    <n v="54"/>
    <x v="2"/>
    <x v="1"/>
    <s v="10.34 Years"/>
    <x v="0"/>
    <n v="2288.5"/>
  </r>
  <r>
    <s v="EMP139"/>
    <s v="John"/>
    <s v="Martinez"/>
    <s v="John Martinez"/>
    <s v="FIN03"/>
    <d v="2023-07-03T00:00:00"/>
    <x v="2"/>
    <d v="2023-07-03T00:00:00"/>
    <n v="103831"/>
    <n v="70"/>
    <x v="0"/>
    <x v="0"/>
    <s v="3 Years"/>
    <x v="1"/>
    <n v="5191.55"/>
  </r>
  <r>
    <s v="EMP112"/>
    <s v="Thomas"/>
    <s v="Smith"/>
    <s v="Thomas Smith"/>
    <s v="IT02"/>
    <d v="2023-02-20T00:00:00"/>
    <x v="0"/>
    <d v="2023-02-20T00:00:00"/>
    <n v="73785"/>
    <n v="40"/>
    <x v="3"/>
    <x v="1"/>
    <s v="3.37 Years"/>
    <x v="2"/>
    <n v="0"/>
  </r>
  <r>
    <s v="EMP030"/>
    <s v="Emily"/>
    <s v="Johnson"/>
    <s v="Emily Johnson"/>
    <s v="OPS06"/>
    <d v="2020-03-02T00:00:00"/>
    <x v="3"/>
    <d v="2020-03-02T00:00:00"/>
    <n v="115882"/>
    <n v="49"/>
    <x v="1"/>
    <x v="0"/>
    <s v="6.34 Years"/>
    <x v="2"/>
    <n v="0"/>
  </r>
  <r>
    <s v="EMP096"/>
    <s v="John"/>
    <s v="Wilson"/>
    <s v="John Wilson"/>
    <s v="OPS06"/>
    <d v="2023-12-12T00:00:00"/>
    <x v="3"/>
    <d v="2023-12-12T00:00:00"/>
    <n v="59980"/>
    <n v="70"/>
    <x v="3"/>
    <x v="1"/>
    <s v="2.56 Years"/>
    <x v="1"/>
    <n v="2999"/>
  </r>
  <r>
    <s v="EMP098"/>
    <s v="Jessica"/>
    <s v="Smith"/>
    <s v="Jessica Smith"/>
    <s v="OPS06"/>
    <d v="2020-12-09T00:00:00"/>
    <x v="3"/>
    <d v="2020-12-09T00:00:00"/>
    <n v="68728"/>
    <n v="45"/>
    <x v="1"/>
    <x v="0"/>
    <s v="5.57 Years"/>
    <x v="2"/>
    <n v="0"/>
  </r>
  <r>
    <s v="EMP095"/>
    <m/>
    <s v="Rodriguez"/>
    <s v="Rodriguez"/>
    <s v="FIN03"/>
    <d v="2018-01-07T00:00:00"/>
    <x v="2"/>
    <d v="2018-01-07T00:00:00"/>
    <n v="102139"/>
    <n v="79"/>
    <x v="0"/>
    <x v="0"/>
    <s v="8.49 Years"/>
    <x v="1"/>
    <n v="5106.9500000000007"/>
  </r>
  <r>
    <s v="EMP140"/>
    <s v="Michael"/>
    <s v="Martinez"/>
    <s v="Michael Martinez"/>
    <s v="SAL05"/>
    <d v="2016-11-02T00:00:00"/>
    <x v="4"/>
    <d v="2016-11-02T00:00:00"/>
    <n v="94998"/>
    <n v="58"/>
    <x v="0"/>
    <x v="0"/>
    <s v="9.67 Years"/>
    <x v="0"/>
    <n v="1899.96"/>
  </r>
  <r>
    <s v="EMP020"/>
    <s v="Emily"/>
    <s v="Miller"/>
    <s v="Emily Miller"/>
    <s v="SAL05"/>
    <d v="2020-03-21T00:00:00"/>
    <x v="4"/>
    <d v="2020-03-21T00:00:00"/>
    <n v="118635"/>
    <n v="49"/>
    <x v="0"/>
    <x v="0"/>
    <s v="6.28 Years"/>
    <x v="2"/>
    <n v="0"/>
  </r>
  <r>
    <s v="EMP057"/>
    <s v="Emily"/>
    <s v="Hernandez"/>
    <s v="Emily Hernandez"/>
    <s v="IT02"/>
    <d v="2016-02-25T00:00:00"/>
    <x v="0"/>
    <d v="2016-02-25T00:00:00"/>
    <n v="76918"/>
    <n v="62"/>
    <x v="0"/>
    <x v="0"/>
    <s v="10.36 Years"/>
    <x v="0"/>
    <n v="1538.3600000000001"/>
  </r>
  <r>
    <s v="EMP016"/>
    <s v="Jane"/>
    <s v="Williams"/>
    <s v="Jane Williams"/>
    <s v="MKT04"/>
    <d v="2021-06-17T00:00:00"/>
    <x v="1"/>
    <d v="2021-06-17T00:00:00"/>
    <n v="61408"/>
    <n v="48"/>
    <x v="1"/>
    <x v="0"/>
    <s v="5.05 Years"/>
    <x v="2"/>
    <n v="0"/>
  </r>
  <r>
    <s v="EMP070"/>
    <s v="Jane"/>
    <s v="Miller"/>
    <s v="Jane Miller"/>
    <s v="MKT04"/>
    <d v="2020-06-19T00:00:00"/>
    <x v="1"/>
    <d v="2020-06-19T00:00:00"/>
    <n v="99990"/>
    <n v="54"/>
    <x v="0"/>
    <x v="0"/>
    <s v="6.04 Years"/>
    <x v="0"/>
    <n v="1999.8"/>
  </r>
  <r>
    <s v="EMP025"/>
    <s v="Robert"/>
    <s v="Jones"/>
    <s v="Robert Jones"/>
    <s v="MKT04"/>
    <d v="2019-12-21T00:00:00"/>
    <x v="1"/>
    <d v="2019-12-21T00:00:00"/>
    <n v="80385"/>
    <n v="68.08"/>
    <x v="0"/>
    <x v="0"/>
    <s v="6.53 Years"/>
    <x v="0"/>
    <n v="1607.7"/>
  </r>
  <r>
    <s v="EMP031"/>
    <s v="Thomas"/>
    <s v="Rodriguez"/>
    <s v="Thomas Rodriguez"/>
    <s v="SAL05"/>
    <d v="2023-08-31T00:00:00"/>
    <x v="4"/>
    <d v="2023-08-31T00:00:00"/>
    <n v="65290"/>
    <n v="77"/>
    <x v="0"/>
    <x v="0"/>
    <s v="2.84 Years"/>
    <x v="1"/>
    <n v="3264.5"/>
  </r>
  <r>
    <s v="EMP126"/>
    <s v="Emily"/>
    <s v="Davis"/>
    <s v="Emily Davis"/>
    <s v="IT02"/>
    <d v="2015-11-29T00:00:00"/>
    <x v="0"/>
    <d v="2015-11-29T00:00:00"/>
    <n v="105765"/>
    <n v="42"/>
    <x v="0"/>
    <x v="0"/>
    <s v="10.6 Years"/>
    <x v="2"/>
    <n v="0"/>
  </r>
  <r>
    <s v="EMP109"/>
    <s v="James"/>
    <s v="Martinez"/>
    <s v="James Martinez"/>
    <s v="SAL05"/>
    <d v="2017-06-13T00:00:00"/>
    <x v="4"/>
    <d v="2017-06-13T00:00:00"/>
    <n v="102921"/>
    <n v="49"/>
    <x v="1"/>
    <x v="0"/>
    <s v="9.06 Years"/>
    <x v="2"/>
    <n v="0"/>
  </r>
  <r>
    <s v="EMP066"/>
    <s v="Ashley"/>
    <s v="Lopez"/>
    <s v="Ashley Lopez"/>
    <s v="MKT04"/>
    <d v="2018-05-15T00:00:00"/>
    <x v="1"/>
    <d v="2018-05-15T00:00:00"/>
    <n v="73984"/>
    <n v="93"/>
    <x v="0"/>
    <x v="0"/>
    <s v="8.13 Years"/>
    <x v="3"/>
    <n v="5918.72"/>
  </r>
  <r>
    <s v="EMP120"/>
    <s v="Amanda"/>
    <s v="Gonzalez"/>
    <s v="Amanda Gonzalez"/>
    <s v="IT02"/>
    <d v="2016-07-24T00:00:00"/>
    <x v="0"/>
    <d v="2016-07-24T00:00:00"/>
    <n v="83603.929999999993"/>
    <n v="75"/>
    <x v="0"/>
    <x v="0"/>
    <s v="9.94 Years"/>
    <x v="1"/>
    <n v="4180.1965"/>
  </r>
  <r>
    <s v="EMP019"/>
    <s v="Michael"/>
    <s v="Hernandez"/>
    <s v="Michael Hernandez"/>
    <s v="FIN03"/>
    <d v="2017-12-07T00:00:00"/>
    <x v="2"/>
    <d v="2017-12-07T00:00:00"/>
    <n v="118527"/>
    <n v="50"/>
    <x v="0"/>
    <x v="0"/>
    <s v="8.57 Years"/>
    <x v="0"/>
    <n v="2370.54"/>
  </r>
  <r>
    <s v="EMP013"/>
    <s v="Richard"/>
    <s v="Hernandez"/>
    <s v="Richard Hernandez"/>
    <s v="MKT04"/>
    <d v="2021-06-06T00:00:00"/>
    <x v="1"/>
    <d v="2021-06-06T00:00:00"/>
    <n v="107871"/>
    <n v="88"/>
    <x v="0"/>
    <x v="0"/>
    <s v="5.08 Years"/>
    <x v="3"/>
    <n v="8629.68"/>
  </r>
  <r>
    <s v="EMP010"/>
    <s v="Michael"/>
    <s v="Rodriguez"/>
    <s v="Michael Rodriguez"/>
    <s v="IT02"/>
    <d v="2022-09-11T00:00:00"/>
    <x v="0"/>
    <d v="2022-09-11T00:00:00"/>
    <n v="93956"/>
    <n v="50"/>
    <x v="2"/>
    <x v="1"/>
    <s v="3.81 Years"/>
    <x v="0"/>
    <n v="1879.1200000000001"/>
  </r>
  <r>
    <s v="EMP032"/>
    <s v="Jessica"/>
    <s v="Johnson"/>
    <s v="Jessica Johnson"/>
    <s v="FIN03"/>
    <d v="2016-07-14T00:00:00"/>
    <x v="2"/>
    <d v="2016-07-14T00:00:00"/>
    <n v="100851"/>
    <n v="64"/>
    <x v="1"/>
    <x v="0"/>
    <s v="9.97 Years"/>
    <x v="0"/>
    <n v="2017.02"/>
  </r>
  <r>
    <s v="EMP082"/>
    <s v="Ashley"/>
    <s v="Williams"/>
    <s v="Ashley Williams"/>
    <s v="SAL05"/>
    <d v="2022-06-16T00:00:00"/>
    <x v="4"/>
    <d v="2022-06-16T00:00:00"/>
    <n v="68655"/>
    <n v="32"/>
    <x v="0"/>
    <x v="0"/>
    <s v="4.05 Years"/>
    <x v="2"/>
    <n v="0"/>
  </r>
  <r>
    <s v="EMP052"/>
    <m/>
    <s v="Williams"/>
    <s v="Williams"/>
    <s v="SAL05"/>
    <d v="2023-07-27T00:00:00"/>
    <x v="4"/>
    <d v="2023-07-27T00:00:00"/>
    <n v="81205"/>
    <n v="59"/>
    <x v="0"/>
    <x v="0"/>
    <s v="2.93 Years"/>
    <x v="0"/>
    <n v="1624.1000000000001"/>
  </r>
  <r>
    <s v="EMP129"/>
    <s v="John"/>
    <s v="Wilson"/>
    <s v="John Wilson"/>
    <s v="SAL05"/>
    <s v="09/24/2019"/>
    <x v="4"/>
    <d v="2019-09-24T00:00:00"/>
    <n v="77610"/>
    <n v="88"/>
    <x v="0"/>
    <x v="0"/>
    <s v="6.78 Years"/>
    <x v="3"/>
    <n v="6208.8"/>
  </r>
  <r>
    <s v="EMP146"/>
    <s v="Thomas"/>
    <s v="Rodriguez"/>
    <s v="Thomas Rodriguez"/>
    <s v="IT02"/>
    <d v="2022-07-23T00:00:00"/>
    <x v="0"/>
    <d v="2022-07-23T00:00:00"/>
    <n v="50873"/>
    <n v="90"/>
    <x v="0"/>
    <x v="0"/>
    <s v="3.95 Years"/>
    <x v="3"/>
    <n v="4069.84"/>
  </r>
  <r>
    <s v="EMP099"/>
    <s v="Michael"/>
    <s v="Wilson"/>
    <s v="Michael Wilson"/>
    <s v="FIN03"/>
    <s v="13-May-18"/>
    <x v="2"/>
    <d v="2018-05-13T00:00:00"/>
    <n v="85312"/>
    <n v="66"/>
    <x v="0"/>
    <x v="0"/>
    <s v="8.14 Years"/>
    <x v="0"/>
    <n v="1706.24"/>
  </r>
  <r>
    <s v="EMP015"/>
    <s v="John"/>
    <s v="Rodriguez"/>
    <s v="John Rodriguez"/>
    <s v="SAL05"/>
    <d v="2015-07-17T00:00:00"/>
    <x v="4"/>
    <d v="2015-07-17T00:00:00"/>
    <n v="83603.929999999993"/>
    <n v="68"/>
    <x v="0"/>
    <x v="0"/>
    <s v="10.96 Years"/>
    <x v="0"/>
    <n v="1672.0785999999998"/>
  </r>
  <r>
    <s v="EMP076"/>
    <s v="Thomas"/>
    <s v="Hernandez"/>
    <s v="Thomas Hernandez"/>
    <s v="OPS06"/>
    <s v="05-Aug-15"/>
    <x v="3"/>
    <d v="2015-08-05T00:00:00"/>
    <n v="97055"/>
    <n v="80"/>
    <x v="0"/>
    <x v="0"/>
    <s v="10.91 Years"/>
    <x v="1"/>
    <n v="4852.75"/>
  </r>
  <r>
    <s v="EMP137"/>
    <s v="Michael"/>
    <s v="Johnson"/>
    <s v="Michael Johnson"/>
    <s v="IT02"/>
    <d v="2023-09-26T00:00:00"/>
    <x v="0"/>
    <d v="2023-09-26T00:00:00"/>
    <n v="66069"/>
    <n v="72"/>
    <x v="0"/>
    <x v="0"/>
    <s v="2.77 Years"/>
    <x v="1"/>
    <n v="3303.4500000000003"/>
  </r>
  <r>
    <s v="EMP056"/>
    <s v="Sarah"/>
    <s v="Brown"/>
    <s v="Sarah Brown"/>
    <s v="IT02"/>
    <s v="10-Jun-19"/>
    <x v="0"/>
    <d v="2019-06-10T00:00:00"/>
    <n v="90157"/>
    <n v="58"/>
    <x v="0"/>
    <x v="0"/>
    <s v="7.06 Years"/>
    <x v="0"/>
    <n v="1803.14"/>
  </r>
  <r>
    <s v="EMP125"/>
    <s v="Jane"/>
    <s v="Martinez"/>
    <s v="Jane Martinez"/>
    <s v="HR01"/>
    <d v="2022-01-17T00:00:00"/>
    <x v="5"/>
    <d v="2022-01-17T00:00:00"/>
    <n v="59899"/>
    <n v="78"/>
    <x v="0"/>
    <x v="0"/>
    <s v="4.46 Years"/>
    <x v="1"/>
    <n v="2994.9500000000003"/>
  </r>
  <r>
    <s v="EMP085"/>
    <s v="Emily"/>
    <s v="Jones"/>
    <s v="Emily Jones"/>
    <s v="FIN03"/>
    <s v="03-Jul-17"/>
    <x v="2"/>
    <d v="2017-07-03T00:00:00"/>
    <n v="113389"/>
    <n v="30"/>
    <x v="1"/>
    <x v="0"/>
    <s v="9 Years"/>
    <x v="2"/>
    <n v="0"/>
  </r>
  <r>
    <s v="EMP106"/>
    <m/>
    <s v="Brown"/>
    <s v="Brown"/>
    <s v="IT02"/>
    <s v="01-Sep-15"/>
    <x v="0"/>
    <d v="2015-09-01T00:00:00"/>
    <n v="102691"/>
    <n v="52"/>
    <x v="0"/>
    <x v="0"/>
    <s v="10.84 Years"/>
    <x v="0"/>
    <n v="2053.8200000000002"/>
  </r>
  <r>
    <s v="EMP043"/>
    <s v="John"/>
    <s v="Wilson"/>
    <s v="John Wilson"/>
    <s v="OPS06"/>
    <s v="03-Aug-22"/>
    <x v="3"/>
    <d v="2022-08-03T00:00:00"/>
    <n v="111845"/>
    <n v="98"/>
    <x v="0"/>
    <x v="0"/>
    <s v="3.92 Years"/>
    <x v="4"/>
    <n v="13421.4"/>
  </r>
  <r>
    <s v="EMP068"/>
    <s v="Melissa"/>
    <s v="Brown"/>
    <s v="Melissa Brown"/>
    <s v="SAL05"/>
    <s v="06/29/2022"/>
    <x v="4"/>
    <d v="2022-06-29T00:00:00"/>
    <n v="69219"/>
    <n v="93"/>
    <x v="0"/>
    <x v="0"/>
    <s v="4.01 Years"/>
    <x v="3"/>
    <n v="5537.52"/>
  </r>
  <r>
    <s v="EMP128"/>
    <s v="Michael"/>
    <s v="Smith"/>
    <s v="Michael Smith"/>
    <s v="FIN03"/>
    <d v="2020-04-28T00:00:00"/>
    <x v="2"/>
    <d v="2020-04-28T00:00:00"/>
    <n v="83603.929999999993"/>
    <n v="80"/>
    <x v="3"/>
    <x v="1"/>
    <s v="6.18 Years"/>
    <x v="1"/>
    <n v="4180.1965"/>
  </r>
  <r>
    <s v="EMP027"/>
    <s v="Sarah"/>
    <s v="Miller"/>
    <s v="Sarah Miller"/>
    <s v="OPS06"/>
    <s v="09/09/2017"/>
    <x v="3"/>
    <d v="2017-09-09T00:00:00"/>
    <n v="57514"/>
    <n v="68.08"/>
    <x v="0"/>
    <x v="0"/>
    <s v="8.82 Years"/>
    <x v="0"/>
    <n v="1150.28"/>
  </r>
  <r>
    <s v="EMP136"/>
    <s v="Emily"/>
    <s v="Wilson"/>
    <s v="Emily Wilson"/>
    <s v="SAL05"/>
    <d v="2018-03-22T00:00:00"/>
    <x v="4"/>
    <d v="2018-03-22T00:00:00"/>
    <n v="86245"/>
    <n v="71"/>
    <x v="2"/>
    <x v="1"/>
    <s v="8.28 Years"/>
    <x v="1"/>
    <n v="4312.25"/>
  </r>
  <r>
    <s v="EMP079"/>
    <s v="David"/>
    <s v="Hernandez"/>
    <s v="David Hernandez"/>
    <s v="SAL05"/>
    <d v="2020-05-07T00:00:00"/>
    <x v="4"/>
    <d v="2020-05-07T00:00:00"/>
    <n v="52407"/>
    <n v="55"/>
    <x v="0"/>
    <x v="0"/>
    <s v="6.16 Years"/>
    <x v="0"/>
    <n v="1048.1400000000001"/>
  </r>
  <r>
    <s v="EMP149"/>
    <s v="James"/>
    <s v="Smith"/>
    <s v="James Smith"/>
    <s v="OPS06"/>
    <d v="2019-03-25T00:00:00"/>
    <x v="3"/>
    <d v="2019-03-25T00:00:00"/>
    <n v="66606"/>
    <n v="93"/>
    <x v="4"/>
    <x v="2"/>
    <s v="7.27 Years"/>
    <x v="3"/>
    <n v="5328.4800000000005"/>
  </r>
  <r>
    <s v="EMP037"/>
    <s v="Sarah"/>
    <s v="Williams"/>
    <s v="Sarah Williams"/>
    <s v="IT02"/>
    <d v="2019-08-09T00:00:00"/>
    <x v="0"/>
    <d v="2019-08-09T00:00:00"/>
    <n v="81896"/>
    <n v="79"/>
    <x v="4"/>
    <x v="2"/>
    <s v="6.9 Years"/>
    <x v="1"/>
    <n v="4094.8"/>
  </r>
  <r>
    <s v="EMP077"/>
    <s v="Amanda"/>
    <s v="Lopez"/>
    <s v="Amanda Lopez"/>
    <s v="SAL05"/>
    <s v="07/14/2016"/>
    <x v="4"/>
    <d v="2016-07-14T00:00:00"/>
    <n v="78402"/>
    <n v="54"/>
    <x v="1"/>
    <x v="0"/>
    <s v="9.97 Years"/>
    <x v="0"/>
    <n v="1568.04"/>
  </r>
  <r>
    <s v="EMP023"/>
    <s v="Thomas"/>
    <s v="Lopez"/>
    <s v="Thomas Lopez"/>
    <s v="OPS06"/>
    <d v="2016-10-04T00:00:00"/>
    <x v="3"/>
    <d v="2016-10-04T00:00:00"/>
    <n v="105498"/>
    <n v="76"/>
    <x v="0"/>
    <x v="0"/>
    <s v="9.75 Years"/>
    <x v="1"/>
    <n v="5274.9000000000005"/>
  </r>
  <r>
    <s v="EMP133"/>
    <s v="Melissa"/>
    <s v="Johnson"/>
    <s v="Melissa Johnson"/>
    <s v="MKT04"/>
    <s v="10-Jul-19"/>
    <x v="1"/>
    <d v="2019-07-10T00:00:00"/>
    <n v="91749"/>
    <n v="72"/>
    <x v="3"/>
    <x v="1"/>
    <s v="6.98 Years"/>
    <x v="1"/>
    <n v="4587.45"/>
  </r>
  <r>
    <s v="EMP141"/>
    <s v="Amanda"/>
    <s v="Johnson"/>
    <s v="Amanda Johnson"/>
    <s v="OPS06"/>
    <d v="2021-08-29T00:00:00"/>
    <x v="3"/>
    <d v="2021-08-29T00:00:00"/>
    <n v="99935"/>
    <n v="84"/>
    <x v="4"/>
    <x v="2"/>
    <s v="4.85 Years"/>
    <x v="1"/>
    <n v="4996.75"/>
  </r>
  <r>
    <s v="EMP012"/>
    <s v="John"/>
    <s v="Davis"/>
    <s v="John Davis"/>
    <s v="IT02"/>
    <d v="2017-01-26T00:00:00"/>
    <x v="0"/>
    <d v="2017-01-26T00:00:00"/>
    <n v="83531"/>
    <n v="30"/>
    <x v="3"/>
    <x v="1"/>
    <s v="9.44 Years"/>
    <x v="2"/>
    <n v="0"/>
  </r>
  <r>
    <s v="EMP080"/>
    <s v="James"/>
    <s v="Johnson"/>
    <s v="James Johnson"/>
    <s v="MKT04"/>
    <d v="2020-05-30T00:00:00"/>
    <x v="1"/>
    <d v="2020-05-30T00:00:00"/>
    <n v="75023"/>
    <n v="68.08"/>
    <x v="1"/>
    <x v="0"/>
    <s v="6.09 Years"/>
    <x v="0"/>
    <n v="1500.46"/>
  </r>
  <r>
    <s v="EMP069"/>
    <s v="Jane"/>
    <s v="Davis"/>
    <s v="Jane Davis"/>
    <s v="HR01"/>
    <d v="2022-02-20T00:00:00"/>
    <x v="5"/>
    <d v="2022-02-20T00:00:00"/>
    <n v="93290"/>
    <n v="53"/>
    <x v="1"/>
    <x v="0"/>
    <s v="4.37 Years"/>
    <x v="0"/>
    <n v="1865.8"/>
  </r>
  <r>
    <s v="EMP150"/>
    <s v="Richard"/>
    <s v="Davis"/>
    <s v="Richard Davis"/>
    <s v="OPS06"/>
    <d v="2016-09-15T00:00:00"/>
    <x v="3"/>
    <d v="2016-09-15T00:00:00"/>
    <n v="115527"/>
    <n v="63"/>
    <x v="4"/>
    <x v="2"/>
    <s v="9.8 Years"/>
    <x v="0"/>
    <n v="2310.54"/>
  </r>
  <r>
    <s v="EMP028"/>
    <s v="Thomas"/>
    <s v="Rodriguez"/>
    <s v="Thomas Rodriguez"/>
    <s v="FIN03"/>
    <s v="10/07/2019"/>
    <x v="2"/>
    <d v="2019-10-07T00:00:00"/>
    <n v="55920"/>
    <n v="84"/>
    <x v="0"/>
    <x v="0"/>
    <s v="6.74 Years"/>
    <x v="1"/>
    <n v="2796"/>
  </r>
  <r>
    <s v="EMP087"/>
    <s v="Emily"/>
    <s v="Johnson"/>
    <s v="Emily Johnson"/>
    <s v="SAL05"/>
    <d v="2018-12-30T00:00:00"/>
    <x v="4"/>
    <d v="2018-12-30T00:00:00"/>
    <n v="80189"/>
    <n v="30"/>
    <x v="0"/>
    <x v="0"/>
    <s v="7.51 Years"/>
    <x v="2"/>
    <n v="0"/>
  </r>
  <r>
    <s v="EMP119"/>
    <s v="Emily"/>
    <s v="Garcia"/>
    <s v="Emily Garcia"/>
    <s v="HR01"/>
    <d v="2020-12-24T00:00:00"/>
    <x v="5"/>
    <d v="2020-12-24T00:00:00"/>
    <n v="118947"/>
    <n v="96"/>
    <x v="0"/>
    <x v="0"/>
    <s v="5.53 Years"/>
    <x v="4"/>
    <n v="14273.64"/>
  </r>
  <r>
    <s v="EMP042"/>
    <s v="Jane"/>
    <s v="Anderson"/>
    <s v="Jane Anderson"/>
    <s v="IT02"/>
    <d v="2023-07-05T00:00:00"/>
    <x v="0"/>
    <d v="2023-07-05T00:00:00"/>
    <n v="83603.929999999993"/>
    <n v="54"/>
    <x v="0"/>
    <x v="0"/>
    <s v="3 Years"/>
    <x v="0"/>
    <n v="1672.0785999999998"/>
  </r>
  <r>
    <s v="EMP005"/>
    <s v="Thomas"/>
    <s v="Garcia"/>
    <s v="Thomas Garcia"/>
    <s v="OPS06"/>
    <d v="2020-11-13T00:00:00"/>
    <x v="3"/>
    <d v="2020-11-13T00:00:00"/>
    <n v="83603.929999999993"/>
    <n v="75"/>
    <x v="0"/>
    <x v="0"/>
    <s v="5.64 Years"/>
    <x v="1"/>
    <n v="4180.1965"/>
  </r>
  <r>
    <s v="EMP033"/>
    <s v="David"/>
    <s v="Martinez"/>
    <s v="David Martinez"/>
    <s v="HR01"/>
    <s v="02/07/2018"/>
    <x v="5"/>
    <d v="2018-02-07T00:00:00"/>
    <n v="91655"/>
    <n v="95"/>
    <x v="0"/>
    <x v="0"/>
    <s v="8.41 Years"/>
    <x v="4"/>
    <n v="10998.6"/>
  </r>
  <r>
    <s v="EMP061"/>
    <s v="Emily"/>
    <s v="Brown"/>
    <s v="Emily Brown"/>
    <s v="IT02"/>
    <d v="2023-11-25T00:00:00"/>
    <x v="0"/>
    <d v="2023-11-25T00:00:00"/>
    <n v="49435"/>
    <n v="68.08"/>
    <x v="3"/>
    <x v="1"/>
    <s v="2.61 Years"/>
    <x v="0"/>
    <n v="988.7"/>
  </r>
  <r>
    <s v="EMP102"/>
    <s v="Emily"/>
    <s v="Wilson"/>
    <s v="Emily Wilson"/>
    <s v="SAL05"/>
    <d v="2023-10-18T00:00:00"/>
    <x v="4"/>
    <d v="2023-10-18T00:00:00"/>
    <n v="110381"/>
    <n v="93"/>
    <x v="0"/>
    <x v="0"/>
    <s v="2.71 Years"/>
    <x v="3"/>
    <n v="8830.48"/>
  </r>
  <r>
    <s v="EMP067"/>
    <s v="Michael"/>
    <s v="Anderson"/>
    <s v="Michael Anderson"/>
    <s v="HR01"/>
    <d v="2020-09-05T00:00:00"/>
    <x v="5"/>
    <d v="2020-09-05T00:00:00"/>
    <n v="114748"/>
    <n v="33"/>
    <x v="0"/>
    <x v="0"/>
    <s v="5.83 Years"/>
    <x v="2"/>
    <n v="0"/>
  </r>
  <r>
    <s v="EMP017"/>
    <s v="Robert"/>
    <s v="Johnson"/>
    <s v="Robert Johnson"/>
    <s v="OPS06"/>
    <d v="2017-03-06T00:00:00"/>
    <x v="3"/>
    <d v="2017-03-06T00:00:00"/>
    <n v="63302"/>
    <n v="91"/>
    <x v="0"/>
    <x v="0"/>
    <s v="9.33 Years"/>
    <x v="3"/>
    <n v="5064.16"/>
  </r>
  <r>
    <s v="EMP123"/>
    <s v="Robert"/>
    <s v="Miller"/>
    <s v="Robert Miller"/>
    <s v="IT02"/>
    <d v="2015-04-28T00:00:00"/>
    <x v="0"/>
    <d v="2015-04-28T00:00:00"/>
    <n v="75519"/>
    <n v="64"/>
    <x v="0"/>
    <x v="0"/>
    <s v="11.18 Years"/>
    <x v="0"/>
    <n v="1510.38"/>
  </r>
  <r>
    <s v="EMP011"/>
    <s v="Jane"/>
    <s v="Davis"/>
    <s v="Jane Davis"/>
    <s v="FIN03"/>
    <d v="2017-04-13T00:00:00"/>
    <x v="2"/>
    <d v="2017-04-13T00:00:00"/>
    <n v="103891"/>
    <n v="80"/>
    <x v="0"/>
    <x v="0"/>
    <s v="9.22 Years"/>
    <x v="1"/>
    <n v="5194.55"/>
  </r>
  <r>
    <s v="EMP091"/>
    <s v="Thomas"/>
    <s v="Davis"/>
    <s v="Thomas Davis"/>
    <s v="OPS06"/>
    <d v="2022-09-23T00:00:00"/>
    <x v="3"/>
    <d v="2022-09-23T00:00:00"/>
    <n v="83603.929999999993"/>
    <n v="46"/>
    <x v="2"/>
    <x v="1"/>
    <s v="3.78 Years"/>
    <x v="2"/>
    <n v="0"/>
  </r>
  <r>
    <s v="EMP145"/>
    <s v="Thomas"/>
    <s v="Jones"/>
    <s v="Thomas Jones"/>
    <s v="MKT04"/>
    <s v="11/11/2016"/>
    <x v="1"/>
    <d v="2016-11-11T00:00:00"/>
    <n v="50936"/>
    <n v="99"/>
    <x v="0"/>
    <x v="0"/>
    <s v="9.65 Years"/>
    <x v="4"/>
    <n v="6112.32"/>
  </r>
  <r>
    <s v="EMP001"/>
    <s v="Michael"/>
    <s v="Miller"/>
    <s v="Michael Miller"/>
    <s v="SAL05"/>
    <s v="24-Mar-17"/>
    <x v="4"/>
    <d v="2017-03-24T00:00:00"/>
    <n v="111240"/>
    <n v="68.08"/>
    <x v="0"/>
    <x v="0"/>
    <s v="9.28 Years"/>
    <x v="0"/>
    <n v="2224.8000000000002"/>
  </r>
  <r>
    <s v="EMP113"/>
    <s v="Richard"/>
    <s v="Gonzalez"/>
    <s v="Richard Gonzalez"/>
    <s v="HR01"/>
    <s v="05-May-19"/>
    <x v="5"/>
    <d v="2019-05-05T00:00:00"/>
    <n v="51567"/>
    <n v="87"/>
    <x v="4"/>
    <x v="2"/>
    <s v="7.16 Years"/>
    <x v="3"/>
    <n v="4125.3599999999997"/>
  </r>
  <r>
    <s v="EMP065"/>
    <s v="Melissa"/>
    <s v="Williams"/>
    <s v="Melissa Williams"/>
    <s v="HR01"/>
    <d v="2021-07-25T00:00:00"/>
    <x v="5"/>
    <d v="2021-07-25T00:00:00"/>
    <n v="83603.929999999993"/>
    <n v="36"/>
    <x v="0"/>
    <x v="0"/>
    <s v="4.94 Years"/>
    <x v="2"/>
    <n v="0"/>
  </r>
  <r>
    <s v="EMP045"/>
    <s v="Robert"/>
    <s v="Miller"/>
    <s v="Robert Miller"/>
    <s v="HR01"/>
    <d v="2017-09-30T00:00:00"/>
    <x v="5"/>
    <d v="2017-09-30T00:00:00"/>
    <n v="55270"/>
    <n v="87"/>
    <x v="0"/>
    <x v="0"/>
    <s v="8.76 Years"/>
    <x v="3"/>
    <n v="4421.6000000000004"/>
  </r>
  <r>
    <s v="EMP083"/>
    <s v="William"/>
    <s v="Garcia"/>
    <s v="William Garcia"/>
    <s v="SAL05"/>
    <d v="2015-07-07T00:00:00"/>
    <x v="4"/>
    <d v="2015-07-07T00:00:00"/>
    <n v="65235"/>
    <n v="97"/>
    <x v="1"/>
    <x v="0"/>
    <s v="10.99 Years"/>
    <x v="4"/>
    <n v="7828.2"/>
  </r>
  <r>
    <s v="EMP029"/>
    <s v="John"/>
    <s v="Gonzalez"/>
    <s v="John Gonzalez"/>
    <s v="SAL05"/>
    <d v="2018-07-02T00:00:00"/>
    <x v="4"/>
    <d v="2018-07-02T00:00:00"/>
    <n v="83603.929999999993"/>
    <n v="72"/>
    <x v="2"/>
    <x v="1"/>
    <s v="8 Years"/>
    <x v="1"/>
    <n v="4180.1965"/>
  </r>
  <r>
    <s v="EMP041"/>
    <s v="James"/>
    <s v="Gonzalez"/>
    <s v="James Gonzalez"/>
    <s v="SAL05"/>
    <d v="2022-09-15T00:00:00"/>
    <x v="4"/>
    <d v="2022-09-15T00:00:00"/>
    <n v="83603.929999999993"/>
    <n v="65"/>
    <x v="2"/>
    <x v="1"/>
    <s v="3.8 Years"/>
    <x v="0"/>
    <n v="1672.0785999999998"/>
  </r>
  <r>
    <s v="EMP026"/>
    <s v="Jane"/>
    <s v="Gonzalez"/>
    <s v="Jane Gonzalez"/>
    <s v="SAL05"/>
    <d v="2015-09-02T00:00:00"/>
    <x v="4"/>
    <d v="2015-09-02T00:00:00"/>
    <n v="83603.929999999993"/>
    <n v="67"/>
    <x v="0"/>
    <x v="0"/>
    <s v="10.84 Years"/>
    <x v="0"/>
    <n v="1672.0785999999998"/>
  </r>
  <r>
    <s v="EMP024"/>
    <s v="David"/>
    <s v="Wilson"/>
    <s v="David Wilson"/>
    <s v="OPS06"/>
    <s v="11-Oct-16"/>
    <x v="3"/>
    <d v="2016-10-11T00:00:00"/>
    <n v="48823"/>
    <n v="34"/>
    <x v="1"/>
    <x v="0"/>
    <s v="9.73 Years"/>
    <x v="2"/>
    <n v="0"/>
  </r>
  <r>
    <s v="EMP111"/>
    <s v="Jane"/>
    <s v="Gonzalez"/>
    <s v="Jane Gonzalez"/>
    <s v="FIN03"/>
    <d v="2019-04-20T00:00:00"/>
    <x v="2"/>
    <d v="2019-04-20T00:00:00"/>
    <n v="45196"/>
    <n v="78"/>
    <x v="2"/>
    <x v="1"/>
    <s v="7.2 Years"/>
    <x v="1"/>
    <n v="2259.8000000000002"/>
  </r>
  <r>
    <s v="EMP040"/>
    <s v="Jane"/>
    <s v="Rodriguez"/>
    <s v="Jane Rodriguez"/>
    <s v="IT02"/>
    <s v="02/19/2017"/>
    <x v="0"/>
    <d v="2017-02-19T00:00:00"/>
    <n v="86246"/>
    <n v="61"/>
    <x v="0"/>
    <x v="0"/>
    <s v="9.37 Years"/>
    <x v="0"/>
    <n v="1724.92"/>
  </r>
  <r>
    <s v="EMP086"/>
    <s v="Emily"/>
    <s v="Miller"/>
    <s v="Emily Miller"/>
    <s v="SAL05"/>
    <s v="09/07/2021"/>
    <x v="4"/>
    <d v="2021-09-07T00:00:00"/>
    <n v="70359"/>
    <n v="74"/>
    <x v="3"/>
    <x v="1"/>
    <s v="4.82 Years"/>
    <x v="1"/>
    <n v="3517.9500000000003"/>
  </r>
  <r>
    <s v="EMP124"/>
    <s v="Sarah"/>
    <s v="Miller"/>
    <s v="Sarah Miller"/>
    <s v="MKT04"/>
    <d v="2019-05-14T00:00:00"/>
    <x v="1"/>
    <d v="2019-05-14T00:00:00"/>
    <n v="83603.929999999993"/>
    <n v="94"/>
    <x v="1"/>
    <x v="0"/>
    <s v="7.14 Years"/>
    <x v="3"/>
    <n v="6688.3143999999993"/>
  </r>
  <r>
    <s v="EMP132"/>
    <s v="Jessica"/>
    <s v="Garcia"/>
    <s v="Jessica Garcia"/>
    <s v="OPS06"/>
    <d v="2015-11-22T00:00:00"/>
    <x v="3"/>
    <d v="2015-11-22T00:00:00"/>
    <n v="86480"/>
    <n v="68.08"/>
    <x v="1"/>
    <x v="0"/>
    <s v="10.61 Years"/>
    <x v="0"/>
    <n v="1729.6000000000001"/>
  </r>
  <r>
    <s v="EMP048"/>
    <s v="Richard"/>
    <s v="Smith"/>
    <s v="Richard Smith"/>
    <s v="HR01"/>
    <s v="09/29/2018"/>
    <x v="5"/>
    <d v="2018-09-29T00:00:00"/>
    <n v="47694"/>
    <n v="75"/>
    <x v="1"/>
    <x v="0"/>
    <s v="7.76 Years"/>
    <x v="1"/>
    <n v="2384.7000000000003"/>
  </r>
  <r>
    <s v="EMP114"/>
    <s v="Melissa"/>
    <s v="Wilson"/>
    <s v="Melissa Wilson"/>
    <s v="IT02"/>
    <d v="2023-09-02T00:00:00"/>
    <x v="0"/>
    <d v="2023-09-02T00:00:00"/>
    <n v="83724"/>
    <n v="81"/>
    <x v="4"/>
    <x v="2"/>
    <s v="2.84 Years"/>
    <x v="1"/>
    <n v="4186.2"/>
  </r>
  <r>
    <s v="EMP062"/>
    <s v="Thomas"/>
    <s v="Williams"/>
    <s v="Thomas Williams"/>
    <s v="FIN03"/>
    <d v="2022-07-17T00:00:00"/>
    <x v="2"/>
    <d v="2022-07-17T00:00:00"/>
    <n v="98299"/>
    <n v="61"/>
    <x v="0"/>
    <x v="0"/>
    <s v="3.96 Years"/>
    <x v="0"/>
    <n v="1965.98"/>
  </r>
  <r>
    <s v="EMP074"/>
    <s v="David"/>
    <s v="Williams"/>
    <s v="David Williams"/>
    <s v="FIN03"/>
    <s v="07-Feb-21"/>
    <x v="2"/>
    <d v="2021-02-07T00:00:00"/>
    <n v="83603.929999999993"/>
    <n v="68"/>
    <x v="0"/>
    <x v="0"/>
    <s v="5.41 Years"/>
    <x v="0"/>
    <n v="1672.0785999999998"/>
  </r>
  <r>
    <s v="EMP034"/>
    <s v="John"/>
    <s v="Johnson"/>
    <s v="John Johnson"/>
    <s v="IT02"/>
    <s v="10/04/2023"/>
    <x v="0"/>
    <d v="2023-10-04T00:00:00"/>
    <n v="52287"/>
    <n v="70"/>
    <x v="0"/>
    <x v="0"/>
    <s v="2.75 Years"/>
    <x v="1"/>
    <n v="2614.3500000000004"/>
  </r>
  <r>
    <s v="EMP105"/>
    <s v="Richard"/>
    <s v="Gonzalez"/>
    <s v="Richard Gonzalez"/>
    <s v="IT02"/>
    <d v="2020-08-30T00:00:00"/>
    <x v="0"/>
    <d v="2020-08-30T00:00:00"/>
    <n v="82633"/>
    <n v="98"/>
    <x v="1"/>
    <x v="0"/>
    <s v="5.84 Years"/>
    <x v="4"/>
    <n v="9915.9599999999991"/>
  </r>
  <r>
    <s v="EMP118"/>
    <s v="Melissa"/>
    <s v="Anderson"/>
    <s v="Melissa Anderson"/>
    <s v="OPS06"/>
    <d v="2021-08-14T00:00:00"/>
    <x v="3"/>
    <d v="2021-08-14T00:00:00"/>
    <n v="46508"/>
    <n v="34"/>
    <x v="0"/>
    <x v="0"/>
    <s v="4.89 Years"/>
    <x v="2"/>
    <n v="0"/>
  </r>
  <r>
    <s v="EMP063"/>
    <s v="Emily"/>
    <s v="Gonzalez"/>
    <s v="Emily Gonzalez"/>
    <s v="HR01"/>
    <s v="27-Nov-19"/>
    <x v="5"/>
    <d v="2019-11-27T00:00:00"/>
    <n v="86232"/>
    <n v="93"/>
    <x v="0"/>
    <x v="0"/>
    <s v="6.6 Years"/>
    <x v="3"/>
    <n v="6898.56"/>
  </r>
  <r>
    <s v="EMP094"/>
    <s v="Jane"/>
    <s v="Davis"/>
    <s v="Jane Davis"/>
    <s v="IT02"/>
    <s v="25-May-17"/>
    <x v="0"/>
    <d v="2017-05-25T00:00:00"/>
    <n v="77545"/>
    <n v="48"/>
    <x v="0"/>
    <x v="0"/>
    <s v="9.11 Years"/>
    <x v="2"/>
    <n v="0"/>
  </r>
  <r>
    <s v="EMP097"/>
    <s v="William"/>
    <s v="Gonzalez"/>
    <s v="William Gonzalez"/>
    <s v="OPS06"/>
    <d v="2018-12-02T00:00:00"/>
    <x v="3"/>
    <d v="2018-12-02T00:00:00"/>
    <n v="68683"/>
    <n v="90"/>
    <x v="0"/>
    <x v="0"/>
    <s v="7.59 Years"/>
    <x v="3"/>
    <n v="5494.64"/>
  </r>
  <r>
    <s v="EMP054"/>
    <s v="Thomas"/>
    <s v="Jones"/>
    <s v="Thomas Jones"/>
    <s v="FIN03"/>
    <d v="2019-06-23T00:00:00"/>
    <x v="2"/>
    <d v="2019-06-23T00:00:00"/>
    <n v="83932"/>
    <n v="57"/>
    <x v="2"/>
    <x v="1"/>
    <s v="7.03 Years"/>
    <x v="0"/>
    <n v="1678.64"/>
  </r>
  <r>
    <s v="EMP006"/>
    <s v="Jessica"/>
    <s v="Anderson"/>
    <s v="Jessica Anderson"/>
    <s v="HR01"/>
    <d v="2015-10-27T00:00:00"/>
    <x v="5"/>
    <d v="2015-10-27T00:00:00"/>
    <n v="56073"/>
    <n v="79"/>
    <x v="0"/>
    <x v="0"/>
    <s v="10.68 Years"/>
    <x v="1"/>
    <n v="2803.65"/>
  </r>
  <r>
    <s v="EMP110"/>
    <s v="Melissa"/>
    <s v="Johnson"/>
    <s v="Melissa Johnson"/>
    <s v="IT02"/>
    <d v="2018-06-19T00:00:00"/>
    <x v="0"/>
    <d v="2018-06-19T00:00:00"/>
    <n v="88056"/>
    <n v="66"/>
    <x v="0"/>
    <x v="0"/>
    <s v="8.04 Years"/>
    <x v="0"/>
    <n v="1761.1200000000001"/>
  </r>
  <r>
    <s v="EMP147"/>
    <s v="Thomas"/>
    <s v="Miller"/>
    <s v="Thomas Miller"/>
    <s v="OPS06"/>
    <d v="2018-01-12T00:00:00"/>
    <x v="3"/>
    <d v="2018-01-12T00:00:00"/>
    <n v="67414"/>
    <n v="84"/>
    <x v="3"/>
    <x v="1"/>
    <s v="8.48 Years"/>
    <x v="1"/>
    <n v="3370.7000000000003"/>
  </r>
  <r>
    <s v="EMP050"/>
    <s v="William"/>
    <s v="Gonzalez"/>
    <s v="William Gonzalez"/>
    <s v="SAL05"/>
    <d v="2015-01-04T00:00:00"/>
    <x v="4"/>
    <d v="2015-01-04T00:00:00"/>
    <n v="115288"/>
    <n v="61"/>
    <x v="0"/>
    <x v="0"/>
    <s v="11.5 Years"/>
    <x v="0"/>
    <n v="2305.7600000000002"/>
  </r>
  <r>
    <s v="EMP036"/>
    <m/>
    <s v="Smith"/>
    <s v="Smith"/>
    <s v="SAL05"/>
    <d v="2018-12-05T00:00:00"/>
    <x v="4"/>
    <d v="2018-12-05T00:00:00"/>
    <n v="80140"/>
    <n v="58"/>
    <x v="0"/>
    <x v="0"/>
    <s v="7.58 Years"/>
    <x v="0"/>
    <n v="1602.8"/>
  </r>
  <r>
    <s v="EMP081"/>
    <s v="John"/>
    <s v="Johnson"/>
    <s v="John Johnson"/>
    <s v="IT02"/>
    <d v="2021-10-13T00:00:00"/>
    <x v="0"/>
    <d v="2021-10-13T00:00:00"/>
    <n v="73087"/>
    <n v="69"/>
    <x v="0"/>
    <x v="0"/>
    <s v="4.72 Years"/>
    <x v="0"/>
    <n v="1461.74"/>
  </r>
  <r>
    <s v="EMP078"/>
    <s v="Jane"/>
    <s v="Johnson"/>
    <s v="Jane Johnson"/>
    <s v="SAL05"/>
    <d v="2020-09-07T00:00:00"/>
    <x v="4"/>
    <d v="2020-09-07T00:00:00"/>
    <n v="95292"/>
    <n v="34"/>
    <x v="0"/>
    <x v="0"/>
    <s v="5.82 Years"/>
    <x v="2"/>
    <n v="0"/>
  </r>
  <r>
    <s v="EMP035"/>
    <s v="John"/>
    <s v="Jones"/>
    <s v="John Jones"/>
    <s v="IT02"/>
    <s v="03/08/2019"/>
    <x v="0"/>
    <d v="2019-03-08T00:00:00"/>
    <n v="83603.929999999993"/>
    <n v="33"/>
    <x v="0"/>
    <x v="0"/>
    <s v="7.32 Years"/>
    <x v="2"/>
    <n v="0"/>
  </r>
  <r>
    <s v="EMP047"/>
    <s v="Jane"/>
    <s v="Lopez"/>
    <s v="Jane Lopez"/>
    <s v="MKT04"/>
    <s v="11-Mar-15"/>
    <x v="1"/>
    <d v="2015-03-11T00:00:00"/>
    <n v="101750"/>
    <n v="84"/>
    <x v="3"/>
    <x v="1"/>
    <s v="11.31 Years"/>
    <x v="1"/>
    <n v="5087.5"/>
  </r>
  <r>
    <s v="EMP008"/>
    <s v="Melissa"/>
    <s v="Gonzalez"/>
    <s v="Melissa Gonzalez"/>
    <s v="MKT04"/>
    <s v="19-Feb-17"/>
    <x v="1"/>
    <d v="2017-02-19T00:00:00"/>
    <n v="82992"/>
    <n v="79"/>
    <x v="0"/>
    <x v="0"/>
    <s v="9.37 Years"/>
    <x v="1"/>
    <n v="4149.6000000000004"/>
  </r>
  <r>
    <s v="EMP044"/>
    <s v="William"/>
    <s v="Davis"/>
    <s v="William Davis"/>
    <s v="IT02"/>
    <d v="2023-05-09T00:00:00"/>
    <x v="0"/>
    <d v="2023-05-09T00:00:00"/>
    <n v="49942"/>
    <n v="51"/>
    <x v="0"/>
    <x v="0"/>
    <s v="3.15 Years"/>
    <x v="0"/>
    <n v="998.84"/>
  </r>
  <r>
    <s v="EMP071"/>
    <s v="John"/>
    <s v="Smith"/>
    <s v="John Smith"/>
    <s v="OPS06"/>
    <d v="2018-01-22T00:00:00"/>
    <x v="3"/>
    <d v="2018-01-22T00:00:00"/>
    <n v="89060"/>
    <n v="58"/>
    <x v="0"/>
    <x v="0"/>
    <s v="8.45 Years"/>
    <x v="0"/>
    <n v="1781.2"/>
  </r>
  <r>
    <s v="EMP115"/>
    <s v="James"/>
    <s v="Gonzalez"/>
    <s v="James Gonzalez"/>
    <s v="IT02"/>
    <d v="2020-02-18T00:00:00"/>
    <x v="0"/>
    <d v="2020-02-18T00:00:00"/>
    <n v="53786"/>
    <n v="98"/>
    <x v="0"/>
    <x v="0"/>
    <s v="6.38 Years"/>
    <x v="4"/>
    <n v="6454.32"/>
  </r>
  <r>
    <s v="EMP092"/>
    <s v="Emily"/>
    <s v="Johnson"/>
    <s v="Emily Johnson"/>
    <s v="OPS06"/>
    <s v="05/22/2016"/>
    <x v="3"/>
    <d v="2016-05-22T00:00:00"/>
    <n v="81167"/>
    <n v="68.08"/>
    <x v="0"/>
    <x v="0"/>
    <s v="10.11 Years"/>
    <x v="0"/>
    <n v="1623.3400000000001"/>
  </r>
  <r>
    <s v="EMP084"/>
    <s v="William"/>
    <s v="Williams"/>
    <s v="William Williams"/>
    <s v="MKT04"/>
    <d v="2021-06-02T00:00:00"/>
    <x v="1"/>
    <d v="2021-06-02T00:00:00"/>
    <n v="66688"/>
    <n v="40"/>
    <x v="3"/>
    <x v="1"/>
    <s v="5.09 Years"/>
    <x v="2"/>
    <n v="0"/>
  </r>
  <r>
    <s v="EMP142"/>
    <s v="James"/>
    <s v="Jones"/>
    <s v="James Jones"/>
    <s v="IT02"/>
    <d v="2021-07-17T00:00:00"/>
    <x v="0"/>
    <d v="2021-07-17T00:00:00"/>
    <n v="91672"/>
    <n v="88"/>
    <x v="1"/>
    <x v="0"/>
    <s v="4.96 Years"/>
    <x v="3"/>
    <n v="7333.76"/>
  </r>
  <r>
    <s v="EMP143"/>
    <s v="Jessica"/>
    <s v="Gonzalez"/>
    <s v="Jessica Gonzalez"/>
    <s v="HR01"/>
    <s v="13-Nov-16"/>
    <x v="5"/>
    <d v="2016-11-13T00:00:00"/>
    <n v="77737"/>
    <n v="77"/>
    <x v="0"/>
    <x v="0"/>
    <s v="9.64 Years"/>
    <x v="1"/>
    <n v="3886.8500000000004"/>
  </r>
  <r>
    <s v="EMP090"/>
    <s v="Sarah"/>
    <s v="Miller"/>
    <s v="Sarah Miller"/>
    <s v="SAL05"/>
    <d v="2019-02-17T00:00:00"/>
    <x v="4"/>
    <d v="2019-02-17T00:00:00"/>
    <n v="95686"/>
    <n v="91"/>
    <x v="0"/>
    <x v="0"/>
    <s v="7.38 Years"/>
    <x v="3"/>
    <n v="7654.88"/>
  </r>
  <r>
    <s v="EMP009"/>
    <s v="Jessica"/>
    <s v="Smith"/>
    <s v="Jessica Smith"/>
    <s v="SAL05"/>
    <d v="2016-09-12T00:00:00"/>
    <x v="4"/>
    <d v="2016-09-12T00:00:00"/>
    <n v="114681"/>
    <n v="36"/>
    <x v="1"/>
    <x v="0"/>
    <s v="9.81 Years"/>
    <x v="2"/>
    <n v="0"/>
  </r>
  <r>
    <s v="EMP014"/>
    <s v="Thomas"/>
    <s v="Jones"/>
    <s v="Thomas Jones"/>
    <s v="OPS06"/>
    <s v="13-Aug-21"/>
    <x v="3"/>
    <d v="2021-08-13T00:00:00"/>
    <n v="109121"/>
    <n v="72"/>
    <x v="0"/>
    <x v="0"/>
    <s v="4.89 Years"/>
    <x v="1"/>
    <n v="5456.05"/>
  </r>
  <r>
    <s v="EMP060"/>
    <s v="Amanda"/>
    <s v="Brown"/>
    <s v="Amanda Brown"/>
    <s v="MKT04"/>
    <d v="2020-06-14T00:00:00"/>
    <x v="1"/>
    <d v="2020-06-14T00:00:00"/>
    <n v="112791"/>
    <n v="87"/>
    <x v="0"/>
    <x v="0"/>
    <s v="6.05 Years"/>
    <x v="3"/>
    <n v="9023.2800000000007"/>
  </r>
  <r>
    <s v="EMP135"/>
    <s v="Robert"/>
    <s v="Martinez"/>
    <s v="Robert Martinez"/>
    <s v="IT02"/>
    <s v="05-Jul-22"/>
    <x v="0"/>
    <d v="2022-07-05T00:00:00"/>
    <n v="118008"/>
    <n v="71"/>
    <x v="0"/>
    <x v="0"/>
    <s v="4 Years"/>
    <x v="1"/>
    <n v="5900.4000000000005"/>
  </r>
  <r>
    <s v="EMP004"/>
    <s v="Thomas"/>
    <s v="Miller"/>
    <s v="Thomas Miller"/>
    <s v="IT02"/>
    <s v="07/10/2016"/>
    <x v="0"/>
    <d v="2016-07-10T00:00:00"/>
    <n v="74370"/>
    <n v="82"/>
    <x v="0"/>
    <x v="0"/>
    <s v="9.98 Years"/>
    <x v="1"/>
    <n v="3718.5"/>
  </r>
  <r>
    <s v="EMP018"/>
    <s v="David"/>
    <s v="Rodriguez"/>
    <s v="David Rodriguez"/>
    <s v="IT02"/>
    <d v="2022-04-23T00:00:00"/>
    <x v="0"/>
    <d v="2022-04-23T00:00:00"/>
    <n v="77819"/>
    <n v="79"/>
    <x v="1"/>
    <x v="0"/>
    <s v="4.2 Years"/>
    <x v="1"/>
    <n v="3890.9500000000003"/>
  </r>
  <r>
    <s v="EMP039"/>
    <s v="Jane"/>
    <s v="Miller"/>
    <s v="Jane Miller"/>
    <s v="MKT04"/>
    <s v="05/10/2017"/>
    <x v="1"/>
    <d v="2017-05-10T00:00:00"/>
    <n v="48748"/>
    <n v="83"/>
    <x v="0"/>
    <x v="0"/>
    <s v="9.15 Years"/>
    <x v="1"/>
    <n v="2437.4"/>
  </r>
  <r>
    <s v="EMP073"/>
    <s v="James"/>
    <s v="Rodriguez"/>
    <s v="James Rodriguez"/>
    <s v="OPS06"/>
    <d v="2020-05-20T00:00:00"/>
    <x v="3"/>
    <d v="2020-05-20T00:00:00"/>
    <n v="101997"/>
    <n v="38"/>
    <x v="4"/>
    <x v="2"/>
    <s v="6.12 Years"/>
    <x v="2"/>
    <n v="0"/>
  </r>
  <r>
    <s v="EMP138"/>
    <s v="Sarah"/>
    <s v="Rodriguez"/>
    <s v="Sarah Rodriguez"/>
    <s v="HR01"/>
    <s v="04/20/2023"/>
    <x v="5"/>
    <d v="2023-04-20T00:00:00"/>
    <n v="115260"/>
    <n v="77"/>
    <x v="0"/>
    <x v="0"/>
    <s v="3.2 Years"/>
    <x v="1"/>
    <n v="5763"/>
  </r>
  <r>
    <s v="EMP007"/>
    <s v="Sarah"/>
    <s v="Wilson"/>
    <s v="Sarah Wilson"/>
    <s v="SAL05"/>
    <d v="2021-10-31T00:00:00"/>
    <x v="4"/>
    <d v="2021-10-31T00:00:00"/>
    <n v="83603.929999999993"/>
    <n v="49"/>
    <x v="0"/>
    <x v="0"/>
    <s v="4.68 Years"/>
    <x v="2"/>
    <n v="0"/>
  </r>
  <r>
    <s v="EMP144"/>
    <s v="Melissa"/>
    <s v="Brown"/>
    <s v="Melissa Brown"/>
    <s v="IT02"/>
    <s v="24-Oct-21"/>
    <x v="0"/>
    <d v="2021-10-24T00:00:00"/>
    <n v="83603.929999999993"/>
    <n v="69"/>
    <x v="3"/>
    <x v="1"/>
    <s v="4.69 Years"/>
    <x v="0"/>
    <n v="1672.0785999999998"/>
  </r>
  <r>
    <s v="EMP101"/>
    <s v="Robert"/>
    <s v="Williams"/>
    <s v="Robert Williams"/>
    <s v="SAL05"/>
    <d v="2017-08-09T00:00:00"/>
    <x v="4"/>
    <d v="2017-08-09T00:00:00"/>
    <n v="83603.929999999993"/>
    <n v="76"/>
    <x v="0"/>
    <x v="0"/>
    <s v="8.9 Years"/>
    <x v="1"/>
    <n v="4180.1965"/>
  </r>
  <r>
    <s v="EMP003"/>
    <s v="Melissa"/>
    <s v="Rodriguez"/>
    <s v="Melissa Rodriguez"/>
    <s v="OPS06"/>
    <d v="2023-01-04T00:00:00"/>
    <x v="3"/>
    <d v="2023-01-04T00:00:00"/>
    <n v="60623"/>
    <n v="78"/>
    <x v="0"/>
    <x v="0"/>
    <s v="3.5 Years"/>
    <x v="1"/>
    <n v="3031.15"/>
  </r>
  <r>
    <s v="EMP121"/>
    <s v="James"/>
    <s v="Johnson"/>
    <s v="James Johnson"/>
    <s v="HR01"/>
    <s v="10-Aug-20"/>
    <x v="5"/>
    <d v="2020-08-10T00:00:00"/>
    <n v="68092"/>
    <n v="93"/>
    <x v="0"/>
    <x v="0"/>
    <s v="5.9 Years"/>
    <x v="3"/>
    <n v="5447.36"/>
  </r>
  <r>
    <s v="EMP064"/>
    <s v="Michael"/>
    <s v="Wilson"/>
    <s v="Michael Wilson"/>
    <s v="MKT04"/>
    <d v="2022-04-02T00:00:00"/>
    <x v="1"/>
    <d v="2022-04-02T00:00:00"/>
    <n v="88155"/>
    <n v="68"/>
    <x v="0"/>
    <x v="0"/>
    <s v="4.25 Years"/>
    <x v="0"/>
    <n v="1763.1000000000001"/>
  </r>
  <r>
    <s v="EMP116"/>
    <s v="William"/>
    <s v="Jones"/>
    <s v="William Jones"/>
    <s v="MKT04"/>
    <s v="24-Mar-18"/>
    <x v="1"/>
    <d v="2018-03-24T00:00:00"/>
    <n v="107903"/>
    <n v="42"/>
    <x v="1"/>
    <x v="0"/>
    <s v="8.28 Years"/>
    <x v="2"/>
    <n v="0"/>
  </r>
  <r>
    <s v="EMP055"/>
    <s v="William"/>
    <s v="Williams"/>
    <s v="William Williams"/>
    <s v="IT02"/>
    <d v="2018-07-24T00:00:00"/>
    <x v="0"/>
    <d v="2018-07-24T00:00:00"/>
    <n v="62818"/>
    <n v="34"/>
    <x v="1"/>
    <x v="0"/>
    <s v="7.94 Years"/>
    <x v="2"/>
    <n v="0"/>
  </r>
  <r>
    <s v="EMP108"/>
    <s v="David"/>
    <s v="Williams"/>
    <s v="David Williams"/>
    <s v="HR01"/>
    <d v="2018-07-20T00:00:00"/>
    <x v="5"/>
    <d v="2018-07-20T00:00:00"/>
    <n v="85151"/>
    <n v="35"/>
    <x v="1"/>
    <x v="0"/>
    <s v="7.95 Years"/>
    <x v="2"/>
    <n v="0"/>
  </r>
  <r>
    <s v="EMP051"/>
    <s v="Jane"/>
    <s v="Davis"/>
    <s v="Jane Davis"/>
    <s v="FIN03"/>
    <s v="04-Mar-16"/>
    <x v="2"/>
    <d v="2016-03-04T00:00:00"/>
    <n v="46390"/>
    <n v="95"/>
    <x v="0"/>
    <x v="0"/>
    <s v="10.33 Years"/>
    <x v="4"/>
    <n v="5566.8"/>
  </r>
  <r>
    <s v="EMP059"/>
    <s v="John"/>
    <s v="Martinez"/>
    <s v="John Martinez"/>
    <s v="HR01"/>
    <d v="2022-03-23T00:00:00"/>
    <x v="5"/>
    <d v="2022-03-23T00:00:00"/>
    <n v="111920"/>
    <n v="90"/>
    <x v="2"/>
    <x v="1"/>
    <s v="4.28 Years"/>
    <x v="3"/>
    <n v="8953.6"/>
  </r>
  <r>
    <s v="EMP049"/>
    <s v="David"/>
    <s v="Anderson"/>
    <s v="David Anderson"/>
    <s v="HR01"/>
    <s v="28-Jul-17"/>
    <x v="5"/>
    <d v="2017-07-28T00:00:00"/>
    <n v="115618"/>
    <n v="42"/>
    <x v="1"/>
    <x v="0"/>
    <s v="8.93 Years"/>
    <x v="2"/>
    <n v="0"/>
  </r>
  <r>
    <s v="EMP089"/>
    <s v="Sarah"/>
    <s v="Smith"/>
    <s v="Sarah Smith"/>
    <s v="SAL05"/>
    <s v="05/11/2023"/>
    <x v="4"/>
    <d v="2023-05-11T00:00:00"/>
    <n v="110618"/>
    <n v="88"/>
    <x v="4"/>
    <x v="2"/>
    <s v="3.15 Years"/>
    <x v="3"/>
    <n v="8849.44"/>
  </r>
  <r>
    <s v="EMP022"/>
    <s v="Melissa"/>
    <s v="Hernandez"/>
    <s v="Melissa Hernandez"/>
    <s v="OPS06"/>
    <s v="19-Mar-22"/>
    <x v="3"/>
    <d v="2022-03-19T00:00:00"/>
    <n v="108395"/>
    <n v="78"/>
    <x v="3"/>
    <x v="1"/>
    <s v="4.29 Years"/>
    <x v="1"/>
    <n v="5419.75"/>
  </r>
  <r>
    <s v="EMP058"/>
    <s v="Melissa"/>
    <s v="Johnson"/>
    <s v="Melissa Johnson"/>
    <s v="FIN03"/>
    <d v="2017-12-22T00:00:00"/>
    <x v="2"/>
    <d v="2017-12-22T00:00:00"/>
    <n v="88005"/>
    <n v="69"/>
    <x v="0"/>
    <x v="0"/>
    <s v="8.53 Years"/>
    <x v="0"/>
    <n v="1760.1000000000001"/>
  </r>
  <r>
    <s v="EMP130"/>
    <s v="Jane"/>
    <s v="Garcia"/>
    <s v="Jane Garcia"/>
    <s v="MKT04"/>
    <s v="08/29/2021"/>
    <x v="1"/>
    <d v="2021-08-29T00:00:00"/>
    <n v="83007"/>
    <n v="82"/>
    <x v="0"/>
    <x v="0"/>
    <s v="4.85 Years"/>
    <x v="1"/>
    <n v="4150.3500000000004"/>
  </r>
  <r>
    <s v="EMP038"/>
    <s v="David"/>
    <s v="Davis"/>
    <s v="David Davis"/>
    <s v="IT02"/>
    <d v="2018-09-17T00:00:00"/>
    <x v="0"/>
    <d v="2018-09-17T00:00:00"/>
    <n v="61547"/>
    <n v="68"/>
    <x v="1"/>
    <x v="0"/>
    <s v="7.8 Years"/>
    <x v="0"/>
    <n v="1230.94"/>
  </r>
  <r>
    <s v="EMP148"/>
    <s v="James"/>
    <s v="Wilson"/>
    <s v="James Wilson"/>
    <s v="SAL05"/>
    <d v="2021-06-28T00:00:00"/>
    <x v="4"/>
    <d v="2021-06-28T00:00:00"/>
    <n v="83603.929999999993"/>
    <n v="52"/>
    <x v="0"/>
    <x v="0"/>
    <s v="5.01 Years"/>
    <x v="0"/>
    <n v="1672.0785999999998"/>
  </r>
  <r>
    <s v="EMP002"/>
    <s v="Richard"/>
    <s v="Johnson"/>
    <s v="Richard Johnson"/>
    <s v="OPS06"/>
    <s v="03-Oct-17"/>
    <x v="3"/>
    <d v="2017-10-03T00:00:00"/>
    <n v="50399"/>
    <n v="92"/>
    <x v="3"/>
    <x v="1"/>
    <s v="8.75 Years"/>
    <x v="3"/>
    <n v="4031.92"/>
  </r>
  <r>
    <s v="EMP053"/>
    <s v="Richard"/>
    <s v="Williams"/>
    <s v="Richard Williams"/>
    <s v="FIN03"/>
    <s v="10/22/2015"/>
    <x v="2"/>
    <d v="2015-10-22T00:00:00"/>
    <n v="83603.929999999993"/>
    <n v="62"/>
    <x v="1"/>
    <x v="0"/>
    <s v="10.7 Years"/>
    <x v="0"/>
    <n v="1672.0785999999998"/>
  </r>
  <r>
    <s v="EMP131"/>
    <s v="John"/>
    <s v="Hernandez"/>
    <s v="John Hernandez"/>
    <s v="OPS06"/>
    <d v="2018-06-06T00:00:00"/>
    <x v="3"/>
    <d v="2018-06-06T00:00:00"/>
    <n v="52720"/>
    <n v="68"/>
    <x v="1"/>
    <x v="0"/>
    <s v="8.08 Years"/>
    <x v="0"/>
    <n v="1054.4000000000001"/>
  </r>
  <r>
    <s v="EMP104"/>
    <s v="Sarah"/>
    <s v="Gonzalez"/>
    <s v="Sarah Gonzalez"/>
    <s v="OPS06"/>
    <d v="2017-07-16T00:00:00"/>
    <x v="3"/>
    <d v="2017-07-16T00:00:00"/>
    <n v="65065"/>
    <n v="98"/>
    <x v="0"/>
    <x v="0"/>
    <s v="8.96 Years"/>
    <x v="4"/>
    <n v="7807.7999999999993"/>
  </r>
  <r>
    <s v="EMP100"/>
    <s v="Melissa"/>
    <s v="Hernandez"/>
    <s v="Melissa Hernandez"/>
    <s v="SAL05"/>
    <d v="2015-06-20T00:00:00"/>
    <x v="4"/>
    <d v="2015-06-20T00:00:00"/>
    <n v="83603.929999999993"/>
    <n v="94"/>
    <x v="4"/>
    <x v="2"/>
    <s v="11.04 Years"/>
    <x v="3"/>
    <n v="6688.3143999999993"/>
  </r>
  <r>
    <s v="EMP117"/>
    <s v="Melissa"/>
    <s v="Hernandez"/>
    <s v="Melissa Hernandez"/>
    <s v="OPS06"/>
    <d v="2019-05-24T00:00:00"/>
    <x v="3"/>
    <d v="2019-05-24T00:00:00"/>
    <n v="108119"/>
    <n v="57"/>
    <x v="4"/>
    <x v="2"/>
    <s v="7.11 Years"/>
    <x v="0"/>
    <n v="2162.38"/>
  </r>
  <r>
    <s v="EMP088"/>
    <s v="John"/>
    <s v="Davis"/>
    <s v="John Davis"/>
    <s v="IT02"/>
    <d v="2020-02-26T00:00:00"/>
    <x v="0"/>
    <d v="2020-02-26T00:00:00"/>
    <n v="83603.929999999993"/>
    <n v="96"/>
    <x v="0"/>
    <x v="0"/>
    <s v="6.35 Years"/>
    <x v="4"/>
    <n v="10032.471599999999"/>
  </r>
  <r>
    <s v="EMP075"/>
    <s v="Richard"/>
    <s v="Davis"/>
    <s v="Richard Davis"/>
    <s v="HR01"/>
    <d v="2023-03-06T00:00:00"/>
    <x v="5"/>
    <d v="2023-03-06T00:00:00"/>
    <n v="106896"/>
    <n v="52"/>
    <x v="2"/>
    <x v="1"/>
    <s v="3.33 Years"/>
    <x v="0"/>
    <n v="2137.92"/>
  </r>
  <r>
    <s v="EMP122"/>
    <m/>
    <s v="Jones"/>
    <s v="Jones"/>
    <s v="IT02"/>
    <s v="01/12/2019"/>
    <x v="0"/>
    <d v="2019-01-12T00:00:00"/>
    <n v="112887"/>
    <n v="59"/>
    <x v="0"/>
    <x v="0"/>
    <s v="7.48 Years"/>
    <x v="0"/>
    <n v="2257.7400000000002"/>
  </r>
  <r>
    <s v="EMP021"/>
    <s v="William"/>
    <s v="Rodriguez"/>
    <s v="William Rodriguez"/>
    <s v="FIN03"/>
    <d v="2023-04-21T00:00:00"/>
    <x v="2"/>
    <d v="2023-04-21T00:00:00"/>
    <n v="85457"/>
    <n v="79"/>
    <x v="1"/>
    <x v="0"/>
    <s v="3.2 Years"/>
    <x v="1"/>
    <n v="4272.8500000000004"/>
  </r>
  <r>
    <s v="EMP072"/>
    <s v="Melissa"/>
    <s v="Miller"/>
    <s v="Melissa Miller"/>
    <s v="SAL05"/>
    <d v="2016-05-29T00:00:00"/>
    <x v="4"/>
    <d v="2016-05-29T00:00:00"/>
    <n v="62798"/>
    <n v="30"/>
    <x v="1"/>
    <x v="0"/>
    <s v="10.1 Years"/>
    <x v="2"/>
    <n v="0"/>
  </r>
  <r>
    <s v="EMP107"/>
    <s v="Emily"/>
    <s v="Martinez"/>
    <s v="Emily Martinez"/>
    <s v="OPS06"/>
    <d v="2022-05-30T00:00:00"/>
    <x v="3"/>
    <d v="2022-05-30T00:00:00"/>
    <n v="47794"/>
    <n v="73"/>
    <x v="2"/>
    <x v="1"/>
    <s v="4.09 Years"/>
    <x v="1"/>
    <n v="2389.7000000000003"/>
  </r>
  <r>
    <s v="EMP093"/>
    <s v="James"/>
    <s v="Rodriguez"/>
    <s v="James Rodriguez"/>
    <s v="MKT04"/>
    <s v="03-Nov-16"/>
    <x v="1"/>
    <d v="2016-11-03T00:00:00"/>
    <n v="93094"/>
    <n v="74"/>
    <x v="0"/>
    <x v="0"/>
    <s v="9.67 Years"/>
    <x v="1"/>
    <n v="4654.7"/>
  </r>
  <r>
    <s v="EMP103"/>
    <s v="Amanda"/>
    <s v="Brown"/>
    <s v="Amanda Brown"/>
    <s v="IT02"/>
    <d v="2022-10-14T00:00:00"/>
    <x v="0"/>
    <d v="2022-10-14T00:00:00"/>
    <n v="118634"/>
    <n v="91"/>
    <x v="1"/>
    <x v="0"/>
    <s v="3.72 Years"/>
    <x v="3"/>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BD4A4-E2BA-4DB3-B748-EA52A0283C6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J4" firstHeaderRow="0" firstDataRow="1" firstDataCol="0"/>
  <pivotFields count="15">
    <pivotField dataField="1" showAll="0"/>
    <pivotField showAll="0"/>
    <pivotField showAll="0"/>
    <pivotField showAll="0"/>
    <pivotField showAll="0"/>
    <pivotField showAll="0"/>
    <pivotField showAll="0">
      <items count="7">
        <item x="2"/>
        <item x="5"/>
        <item x="0"/>
        <item x="1"/>
        <item x="3"/>
        <item x="4"/>
        <item t="default"/>
      </items>
    </pivotField>
    <pivotField numFmtId="14" showAll="0"/>
    <pivotField dataField="1" numFmtId="164" showAll="0"/>
    <pivotField dataField="1" numFmtId="1" showAll="0"/>
    <pivotField showAll="0"/>
    <pivotField showAll="0">
      <items count="4">
        <item x="0"/>
        <item x="1"/>
        <item x="2"/>
        <item t="default"/>
      </items>
    </pivotField>
    <pivotField showAll="0"/>
    <pivotField showAll="0"/>
    <pivotField dataField="1" numFmtId="164" showAll="0"/>
  </pivotFields>
  <rowItems count="1">
    <i/>
  </rowItems>
  <colFields count="1">
    <field x="-2"/>
  </colFields>
  <colItems count="5">
    <i>
      <x/>
    </i>
    <i i="1">
      <x v="1"/>
    </i>
    <i i="2">
      <x v="2"/>
    </i>
    <i i="3">
      <x v="3"/>
    </i>
    <i i="4">
      <x v="4"/>
    </i>
  </colItems>
  <dataFields count="5">
    <dataField name="Count of Emp ID" fld="0" subtotal="count" baseField="0" baseItem="0"/>
    <dataField name="Sum of Salary" fld="8" baseField="0" baseItem="0" numFmtId="164"/>
    <dataField name="Average of Salary" fld="8" subtotal="average" baseField="6" baseItem="0" numFmtId="164"/>
    <dataField name="Average of Perf_Score" fld="9" subtotal="average" baseField="0" baseItem="0" numFmtId="1"/>
    <dataField name="Sum of Eligible Bonus Amount" fld="14" baseField="0" baseItem="0" numFmtId="165"/>
  </dataFields>
  <formats count="1">
    <format dxfId="5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29FC0-6912-4933-8014-AACB1371139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E23" firstHeaderRow="1" firstDataRow="2" firstDataCol="1"/>
  <pivotFields count="15">
    <pivotField dataField="1" showAll="0"/>
    <pivotField showAll="0"/>
    <pivotField showAll="0"/>
    <pivotField showAll="0"/>
    <pivotField showAll="0"/>
    <pivotField showAll="0"/>
    <pivotField axis="axisRow" showAll="0">
      <items count="7">
        <item x="2"/>
        <item x="5"/>
        <item x="0"/>
        <item x="1"/>
        <item x="3"/>
        <item x="4"/>
        <item t="default"/>
      </items>
    </pivotField>
    <pivotField numFmtId="14" showAll="0"/>
    <pivotField numFmtId="164" showAll="0"/>
    <pivotField numFmtId="1" showAll="0"/>
    <pivotField showAll="0">
      <items count="6">
        <item x="1"/>
        <item x="2"/>
        <item x="0"/>
        <item x="3"/>
        <item x="4"/>
        <item t="default"/>
      </items>
    </pivotField>
    <pivotField axis="axisCol" showAll="0">
      <items count="4">
        <item x="0"/>
        <item x="1"/>
        <item x="2"/>
        <item t="default"/>
      </items>
    </pivotField>
    <pivotField showAll="0"/>
    <pivotField showAll="0"/>
    <pivotField numFmtId="164" showAll="0"/>
  </pivotFields>
  <rowFields count="1">
    <field x="6"/>
  </rowFields>
  <rowItems count="7">
    <i>
      <x/>
    </i>
    <i>
      <x v="1"/>
    </i>
    <i>
      <x v="2"/>
    </i>
    <i>
      <x v="3"/>
    </i>
    <i>
      <x v="4"/>
    </i>
    <i>
      <x v="5"/>
    </i>
    <i t="grand">
      <x/>
    </i>
  </rowItems>
  <colFields count="1">
    <field x="11"/>
  </colFields>
  <colItems count="4">
    <i>
      <x/>
    </i>
    <i>
      <x v="1"/>
    </i>
    <i>
      <x v="2"/>
    </i>
    <i t="grand">
      <x/>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766C8-9F88-4627-A3C3-500DC111079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G47:H54" firstHeaderRow="1" firstDataRow="1" firstDataCol="1"/>
  <pivotFields count="15">
    <pivotField showAll="0"/>
    <pivotField showAll="0"/>
    <pivotField showAll="0"/>
    <pivotField showAll="0"/>
    <pivotField showAll="0"/>
    <pivotField showAll="0"/>
    <pivotField axis="axisRow" showAll="0">
      <items count="7">
        <item x="2"/>
        <item x="5"/>
        <item x="0"/>
        <item x="1"/>
        <item x="3"/>
        <item x="4"/>
        <item t="default"/>
      </items>
    </pivotField>
    <pivotField numFmtId="14" showAll="0"/>
    <pivotField dataField="1" numFmtId="164" showAll="0"/>
    <pivotField numFmtId="1" showAll="0"/>
    <pivotField showAll="0"/>
    <pivotField showAll="0">
      <items count="4">
        <item x="0"/>
        <item x="1"/>
        <item x="2"/>
        <item t="default"/>
      </items>
    </pivotField>
    <pivotField showAll="0"/>
    <pivotField showAll="0"/>
    <pivotField numFmtId="164" showAll="0"/>
  </pivotFields>
  <rowFields count="1">
    <field x="6"/>
  </rowFields>
  <rowItems count="7">
    <i>
      <x/>
    </i>
    <i>
      <x v="1"/>
    </i>
    <i>
      <x v="2"/>
    </i>
    <i>
      <x v="3"/>
    </i>
    <i>
      <x v="4"/>
    </i>
    <i>
      <x v="5"/>
    </i>
    <i t="grand">
      <x/>
    </i>
  </rowItems>
  <colItems count="1">
    <i/>
  </colItems>
  <dataFields count="1">
    <dataField name="Average of Salary" fld="8" subtotal="average" baseField="0" baseItem="0" numFmtId="165"/>
  </dataFields>
  <formats count="1">
    <format dxfId="53">
      <pivotArea outline="0" collapsedLevelsAreSubtotals="1" fieldPosition="0"/>
    </format>
  </formats>
  <chartFormats count="5">
    <chartFormat chart="30"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007F35-3E5C-4F4A-BFF1-EA1B029FEF6A}"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47:E54" firstHeaderRow="1" firstDataRow="1" firstDataCol="1"/>
  <pivotFields count="15">
    <pivotField dataField="1" showAll="0"/>
    <pivotField showAll="0"/>
    <pivotField showAll="0"/>
    <pivotField showAll="0"/>
    <pivotField showAll="0"/>
    <pivotField showAll="0"/>
    <pivotField axis="axisRow" showAll="0">
      <items count="7">
        <item x="2"/>
        <item x="5"/>
        <item x="0"/>
        <item x="1"/>
        <item x="3"/>
        <item x="4"/>
        <item t="default"/>
      </items>
    </pivotField>
    <pivotField numFmtId="14" showAll="0"/>
    <pivotField numFmtId="164" showAll="0"/>
    <pivotField numFmtId="1" showAll="0"/>
    <pivotField showAll="0"/>
    <pivotField showAll="0">
      <items count="4">
        <item x="0"/>
        <item x="1"/>
        <item x="2"/>
        <item t="default"/>
      </items>
    </pivotField>
    <pivotField showAll="0"/>
    <pivotField showAll="0"/>
    <pivotField numFmtId="164" showAll="0"/>
  </pivotFields>
  <rowFields count="1">
    <field x="6"/>
  </rowFields>
  <rowItems count="7">
    <i>
      <x/>
    </i>
    <i>
      <x v="1"/>
    </i>
    <i>
      <x v="2"/>
    </i>
    <i>
      <x v="3"/>
    </i>
    <i>
      <x v="4"/>
    </i>
    <i>
      <x v="5"/>
    </i>
    <i t="grand">
      <x/>
    </i>
  </rowItems>
  <colItems count="1">
    <i/>
  </colItems>
  <dataFields count="1">
    <dataField name="Count of Emp ID" fld="0" subtotal="count" baseField="0" baseItem="0"/>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166A9D-E9C5-44AC-9B2E-12B33DDDAF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10" firstHeaderRow="0" firstDataRow="1" firstDataCol="1"/>
  <pivotFields count="15">
    <pivotField dataField="1" showAll="0"/>
    <pivotField showAll="0"/>
    <pivotField showAll="0"/>
    <pivotField showAll="0"/>
    <pivotField showAll="0"/>
    <pivotField showAll="0"/>
    <pivotField axis="axisRow" showAll="0">
      <items count="7">
        <item x="2"/>
        <item x="5"/>
        <item x="0"/>
        <item x="1"/>
        <item x="3"/>
        <item x="4"/>
        <item t="default"/>
      </items>
    </pivotField>
    <pivotField numFmtId="14" showAll="0"/>
    <pivotField dataField="1" numFmtId="164" showAll="0"/>
    <pivotField numFmtId="1" showAll="0"/>
    <pivotField showAll="0"/>
    <pivotField showAll="0">
      <items count="4">
        <item x="0"/>
        <item x="1"/>
        <item x="2"/>
        <item t="default"/>
      </items>
    </pivotField>
    <pivotField showAll="0"/>
    <pivotField showAll="0"/>
    <pivotField numFmtId="164" showAll="0"/>
  </pivotFields>
  <rowFields count="1">
    <field x="6"/>
  </rowFields>
  <rowItems count="7">
    <i>
      <x/>
    </i>
    <i>
      <x v="1"/>
    </i>
    <i>
      <x v="2"/>
    </i>
    <i>
      <x v="3"/>
    </i>
    <i>
      <x v="4"/>
    </i>
    <i>
      <x v="5"/>
    </i>
    <i t="grand">
      <x/>
    </i>
  </rowItems>
  <colFields count="1">
    <field x="-2"/>
  </colFields>
  <colItems count="2">
    <i>
      <x/>
    </i>
    <i i="1">
      <x v="1"/>
    </i>
  </colItems>
  <dataFields count="2">
    <dataField name="Count of Emp ID" fld="0" subtotal="count" baseField="0" baseItem="0"/>
    <dataField name="Average of Salary"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22EBA-4CCB-4308-B302-420E65694148}"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7:B54" firstHeaderRow="1" firstDataRow="1" firstDataCol="1"/>
  <pivotFields count="15">
    <pivotField showAll="0"/>
    <pivotField showAll="0"/>
    <pivotField showAll="0"/>
    <pivotField showAll="0"/>
    <pivotField showAll="0"/>
    <pivotField showAll="0"/>
    <pivotField axis="axisRow" showAll="0">
      <items count="7">
        <item x="2"/>
        <item x="5"/>
        <item x="0"/>
        <item x="1"/>
        <item x="3"/>
        <item x="4"/>
        <item t="default"/>
      </items>
    </pivotField>
    <pivotField numFmtId="14" showAll="0"/>
    <pivotField dataField="1" numFmtId="164" showAll="0"/>
    <pivotField numFmtId="1" showAll="0"/>
    <pivotField showAll="0"/>
    <pivotField showAll="0">
      <items count="4">
        <item x="0"/>
        <item x="1"/>
        <item x="2"/>
        <item t="default"/>
      </items>
    </pivotField>
    <pivotField showAll="0"/>
    <pivotField showAll="0"/>
    <pivotField numFmtId="164" showAll="0"/>
  </pivotFields>
  <rowFields count="1">
    <field x="6"/>
  </rowFields>
  <rowItems count="7">
    <i>
      <x/>
    </i>
    <i>
      <x v="1"/>
    </i>
    <i>
      <x v="2"/>
    </i>
    <i>
      <x v="3"/>
    </i>
    <i>
      <x v="4"/>
    </i>
    <i>
      <x v="5"/>
    </i>
    <i t="grand">
      <x/>
    </i>
  </rowItems>
  <colItems count="1">
    <i/>
  </colItems>
  <dataFields count="1">
    <dataField name="Sum of Salary" fld="8" baseField="0" baseItem="0" numFmtId="164"/>
  </dataFields>
  <chartFormats count="4">
    <chartFormat chart="30"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9FE0D5-B220-4467-BE3C-5938132DC4F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7:B43" firstHeaderRow="1" firstDataRow="1" firstDataCol="1"/>
  <pivotFields count="15">
    <pivotField showAll="0"/>
    <pivotField showAll="0"/>
    <pivotField showAll="0"/>
    <pivotField showAll="0"/>
    <pivotField showAll="0"/>
    <pivotField showAll="0"/>
    <pivotField showAll="0">
      <items count="7">
        <item x="2"/>
        <item x="5"/>
        <item x="0"/>
        <item x="1"/>
        <item x="3"/>
        <item x="4"/>
        <item t="default"/>
      </items>
    </pivotField>
    <pivotField numFmtId="14" showAll="0"/>
    <pivotField numFmtId="164" showAll="0"/>
    <pivotField numFmtId="1" showAll="0"/>
    <pivotField showAll="0"/>
    <pivotField showAll="0">
      <items count="4">
        <item x="0"/>
        <item x="1"/>
        <item x="2"/>
        <item t="default"/>
      </items>
    </pivotField>
    <pivotField showAll="0"/>
    <pivotField axis="axisRow" showAll="0">
      <items count="6">
        <item x="1"/>
        <item x="0"/>
        <item x="3"/>
        <item x="2"/>
        <item x="4"/>
        <item t="default"/>
      </items>
    </pivotField>
    <pivotField dataField="1" numFmtId="164" showAll="0"/>
  </pivotFields>
  <rowFields count="1">
    <field x="13"/>
  </rowFields>
  <rowItems count="6">
    <i>
      <x/>
    </i>
    <i>
      <x v="1"/>
    </i>
    <i>
      <x v="2"/>
    </i>
    <i>
      <x v="3"/>
    </i>
    <i>
      <x v="4"/>
    </i>
    <i t="grand">
      <x/>
    </i>
  </rowItems>
  <colItems count="1">
    <i/>
  </colItems>
  <dataFields count="1">
    <dataField name="Sum of Eligible Bonus Amount" fld="14" baseField="0" baseItem="0" numFmtId="165"/>
  </dataFields>
  <formats count="1">
    <format dxfId="21">
      <pivotArea outline="0" collapsedLevelsAreSubtotals="1" fieldPosition="0"/>
    </format>
  </format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3" count="1" selected="0">
            <x v="0"/>
          </reference>
        </references>
      </pivotArea>
    </chartFormat>
    <chartFormat chart="6" format="9">
      <pivotArea type="data" outline="0" fieldPosition="0">
        <references count="2">
          <reference field="4294967294" count="1" selected="0">
            <x v="0"/>
          </reference>
          <reference field="13" count="1" selected="0">
            <x v="1"/>
          </reference>
        </references>
      </pivotArea>
    </chartFormat>
    <chartFormat chart="6" format="10">
      <pivotArea type="data" outline="0" fieldPosition="0">
        <references count="2">
          <reference field="4294967294" count="1" selected="0">
            <x v="0"/>
          </reference>
          <reference field="13" count="1" selected="0">
            <x v="2"/>
          </reference>
        </references>
      </pivotArea>
    </chartFormat>
    <chartFormat chart="6" format="11">
      <pivotArea type="data" outline="0" fieldPosition="0">
        <references count="2">
          <reference field="4294967294" count="1" selected="0">
            <x v="0"/>
          </reference>
          <reference field="13" count="1" selected="0">
            <x v="3"/>
          </reference>
        </references>
      </pivotArea>
    </chartFormat>
    <chartFormat chart="6" format="12">
      <pivotArea type="data" outline="0" fieldPosition="0">
        <references count="2">
          <reference field="4294967294" count="1" selected="0">
            <x v="0"/>
          </reference>
          <reference field="13"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3" count="1" selected="0">
            <x v="0"/>
          </reference>
        </references>
      </pivotArea>
    </chartFormat>
    <chartFormat chart="8" format="21">
      <pivotArea type="data" outline="0" fieldPosition="0">
        <references count="2">
          <reference field="4294967294" count="1" selected="0">
            <x v="0"/>
          </reference>
          <reference field="13" count="1" selected="0">
            <x v="1"/>
          </reference>
        </references>
      </pivotArea>
    </chartFormat>
    <chartFormat chart="8" format="22">
      <pivotArea type="data" outline="0" fieldPosition="0">
        <references count="2">
          <reference field="4294967294" count="1" selected="0">
            <x v="0"/>
          </reference>
          <reference field="13" count="1" selected="0">
            <x v="2"/>
          </reference>
        </references>
      </pivotArea>
    </chartFormat>
    <chartFormat chart="8" format="23">
      <pivotArea type="data" outline="0" fieldPosition="0">
        <references count="2">
          <reference field="4294967294" count="1" selected="0">
            <x v="0"/>
          </reference>
          <reference field="13" count="1" selected="0">
            <x v="3"/>
          </reference>
        </references>
      </pivotArea>
    </chartFormat>
    <chartFormat chart="8" format="24">
      <pivotArea type="data" outline="0" fieldPosition="0">
        <references count="2">
          <reference field="4294967294" count="1" selected="0">
            <x v="0"/>
          </reference>
          <reference field="13" count="1" selected="0">
            <x v="4"/>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13" count="1" selected="0">
            <x v="0"/>
          </reference>
        </references>
      </pivotArea>
    </chartFormat>
    <chartFormat chart="10" format="33">
      <pivotArea type="data" outline="0" fieldPosition="0">
        <references count="2">
          <reference field="4294967294" count="1" selected="0">
            <x v="0"/>
          </reference>
          <reference field="13" count="1" selected="0">
            <x v="1"/>
          </reference>
        </references>
      </pivotArea>
    </chartFormat>
    <chartFormat chart="10" format="34">
      <pivotArea type="data" outline="0" fieldPosition="0">
        <references count="2">
          <reference field="4294967294" count="1" selected="0">
            <x v="0"/>
          </reference>
          <reference field="13" count="1" selected="0">
            <x v="2"/>
          </reference>
        </references>
      </pivotArea>
    </chartFormat>
    <chartFormat chart="10" format="35">
      <pivotArea type="data" outline="0" fieldPosition="0">
        <references count="2">
          <reference field="4294967294" count="1" selected="0">
            <x v="0"/>
          </reference>
          <reference field="13" count="1" selected="0">
            <x v="3"/>
          </reference>
        </references>
      </pivotArea>
    </chartFormat>
    <chartFormat chart="10" format="36">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14CAD5-18F9-4930-AE81-50CDA49CA37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B32" firstHeaderRow="1" firstDataRow="1" firstDataCol="1"/>
  <pivotFields count="15">
    <pivotField showAll="0"/>
    <pivotField showAll="0"/>
    <pivotField showAll="0"/>
    <pivotField showAll="0"/>
    <pivotField showAll="0"/>
    <pivotField showAll="0"/>
    <pivotField showAll="0">
      <items count="7">
        <item x="2"/>
        <item x="5"/>
        <item x="0"/>
        <item x="1"/>
        <item x="3"/>
        <item x="4"/>
        <item t="default"/>
      </items>
    </pivotField>
    <pivotField numFmtId="14" showAll="0"/>
    <pivotField numFmtId="164" showAll="0"/>
    <pivotField dataField="1" numFmtId="1" showAll="0"/>
    <pivotField showAll="0"/>
    <pivotField axis="axisRow" showAll="0">
      <items count="4">
        <item x="0"/>
        <item x="1"/>
        <item x="2"/>
        <item t="default"/>
      </items>
    </pivotField>
    <pivotField showAll="0"/>
    <pivotField showAll="0"/>
    <pivotField numFmtId="164" showAll="0"/>
  </pivotFields>
  <rowFields count="1">
    <field x="11"/>
  </rowFields>
  <rowItems count="4">
    <i>
      <x/>
    </i>
    <i>
      <x v="1"/>
    </i>
    <i>
      <x v="2"/>
    </i>
    <i t="grand">
      <x/>
    </i>
  </rowItems>
  <colItems count="1">
    <i/>
  </colItems>
  <dataFields count="1">
    <dataField name="Average of Perf_Score" fld="9" subtotal="average"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A255AD-2B8D-46C5-AADE-AB0FC25E8CE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5">
    <pivotField dataField="1" showAll="0"/>
    <pivotField showAll="0"/>
    <pivotField showAll="0"/>
    <pivotField showAll="0"/>
    <pivotField showAll="0"/>
    <pivotField showAll="0"/>
    <pivotField showAll="0">
      <items count="7">
        <item x="2"/>
        <item x="5"/>
        <item x="0"/>
        <item x="1"/>
        <item x="3"/>
        <item x="4"/>
        <item t="default"/>
      </items>
    </pivotField>
    <pivotField numFmtId="14" showAll="0"/>
    <pivotField numFmtId="164" showAll="0"/>
    <pivotField numFmtId="1" showAll="0"/>
    <pivotField showAll="0"/>
    <pivotField axis="axisRow" showAll="0">
      <items count="4">
        <item x="0"/>
        <item x="1"/>
        <item x="2"/>
        <item t="default"/>
      </items>
    </pivotField>
    <pivotField showAll="0"/>
    <pivotField showAll="0"/>
    <pivotField numFmtId="164" showAll="0"/>
  </pivotFields>
  <rowFields count="1">
    <field x="11"/>
  </rowFields>
  <rowItems count="4">
    <i>
      <x/>
    </i>
    <i>
      <x v="1"/>
    </i>
    <i>
      <x v="2"/>
    </i>
    <i t="grand">
      <x/>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al_Name" xr10:uid="{1CF389CF-432F-4394-BED3-BD670EE86828}" sourceName="Departmental Name">
  <pivotTables>
    <pivotTable tabId="6" name="PivotTable2"/>
    <pivotTable tabId="6" name="PivotTable1"/>
    <pivotTable tabId="6" name="PivotTable13"/>
    <pivotTable tabId="6" name="PivotTable14"/>
    <pivotTable tabId="6" name="PivotTable15"/>
    <pivotTable tabId="6" name="PivotTable3"/>
    <pivotTable tabId="6" name="PivotTable4"/>
    <pivotTable tabId="6" name="PivotTable5"/>
    <pivotTable tabId="6" name="PivotTable6"/>
  </pivotTables>
  <data>
    <tabular pivotCacheId="1833435526">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Employment_Status" xr10:uid="{2D6C25FD-CDEC-4182-99F9-682D4779CD5B}" sourceName="Clean Employment Status">
  <pivotTables>
    <pivotTable tabId="6" name="PivotTable1"/>
    <pivotTable tabId="6" name="PivotTable13"/>
    <pivotTable tabId="6" name="PivotTable14"/>
    <pivotTable tabId="6" name="PivotTable15"/>
    <pivotTable tabId="6" name="PivotTable2"/>
    <pivotTable tabId="6" name="PivotTable3"/>
    <pivotTable tabId="6" name="PivotTable4"/>
    <pivotTable tabId="6" name="PivotTable5"/>
    <pivotTable tabId="6" name="PivotTable6"/>
  </pivotTables>
  <data>
    <tabular pivotCacheId="18334355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al Name" xr10:uid="{EC6C95F2-4C2A-4D9D-ACFF-0BFD736EFB9A}" cache="Slicer_Departmental_Name" caption="Departmental Name" columnCount="6" showCaption="0" rowHeight="241300"/>
  <slicer name="Clean Employment Status" xr10:uid="{9742AFA6-7712-43E1-B6CC-21B335B7F39E}" cache="Slicer_Clean_Employment_Status" caption="Clean Employment Status" columnCount="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2A31F5-149D-4B61-AEED-50372DC288A5}" name="Table1" displayName="Table1" ref="A1:O151" totalsRowShown="0" headerRowDxfId="79" dataDxfId="78">
  <autoFilter ref="A1:O151" xr:uid="{5A2A31F5-149D-4B61-AEED-50372DC288A5}"/>
  <tableColumns count="15">
    <tableColumn id="1" xr3:uid="{F28E3D17-8FFB-4800-A0A1-C994A2FC025A}" name="Emp ID" dataDxfId="77"/>
    <tableColumn id="2" xr3:uid="{918981B9-02F8-4730-A9C6-679E6EA6BD69}" name="First_Name" dataDxfId="76"/>
    <tableColumn id="3" xr3:uid="{7B8597FC-AAA6-4A29-B518-03916395C667}" name="Last_Name" dataDxfId="75"/>
    <tableColumn id="4" xr3:uid="{F20D0EBC-7B4A-4B86-8320-9097C66FBDCD}" name="Full_Name" dataDxfId="74">
      <calculatedColumnFormula>_xlfn.TEXTJOIN(" ", TRUE, B2, C2)</calculatedColumnFormula>
    </tableColumn>
    <tableColumn id="5" xr3:uid="{3FB69445-9465-4307-A340-BC5E0A9982B2}" name="Dept Code" dataDxfId="73"/>
    <tableColumn id="6" xr3:uid="{C31E6DEE-2FCB-4E30-9289-24194FC284EB}" name="Hire Date" dataDxfId="72"/>
    <tableColumn id="7" xr3:uid="{CAAFC386-78B1-48FC-81DE-72C998210E32}" name="Departmental Name" dataDxfId="71">
      <calculatedColumnFormula>VLOOKUP(E2, Lookup_Departments!$A$2:$B$7, 2, FALSE)</calculatedColumnFormula>
    </tableColumn>
    <tableColumn id="8" xr3:uid="{59025A6E-6425-4E68-A6E6-E13190502FCB}" name="Clean Hire Date" dataDxfId="70">
      <calculatedColumnFormula>IFERROR(DATEVALUE(F2), F2)</calculatedColumnFormula>
    </tableColumn>
    <tableColumn id="9" xr3:uid="{83439481-AA60-4C2B-876B-BEC08BCB684D}" name="Salary" dataDxfId="69"/>
    <tableColumn id="10" xr3:uid="{A5CC1EF4-3DD3-4A3E-80CA-3FD61E0DA5BA}" name="Perf_Score" dataDxfId="68"/>
    <tableColumn id="11" xr3:uid="{0B263359-5AE8-4430-BD69-D46626A3D8E5}" name="Employment Status" dataDxfId="67"/>
    <tableColumn id="12" xr3:uid="{50F95C9B-9F1D-4714-B4DC-7F541DB4E1A0}" name="Clean Employment Status" dataDxfId="66">
      <calculatedColumnFormula>TRIM(K2)</calculatedColumnFormula>
    </tableColumn>
    <tableColumn id="13" xr3:uid="{EF862366-1BD3-4FFB-81AB-F1270596B233}" name="Year of Service" dataDxfId="65">
      <calculatedColumnFormula>ROUNDDOWN(YEARFRAC(H2, TODAY()), 2) &amp;" " &amp; "Years"</calculatedColumnFormula>
    </tableColumn>
    <tableColumn id="14" xr3:uid="{CC05D02E-6F3B-404A-8B58-074DB9DCDB9B}" name="Performance Band" dataDxfId="64">
      <calculatedColumnFormula>VLOOKUP(J2, Lookup_Performance!$A$2:$D$6, 3, TRUE)</calculatedColumnFormula>
    </tableColumn>
    <tableColumn id="15" xr3:uid="{3CAB162C-0DAB-43F4-A63C-B8C7782F6B20}" name="Eligible Bonus Amount" dataDxfId="63">
      <calculatedColumnFormula>I2 * VLOOKUP(J2, Lookup_Performance!$A$2:$D$6, 4, TRUE)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F49454-1F93-4670-AB2A-9CDE914DC3AA}" name="Table3" displayName="Table3" ref="H32:K39" totalsRowCount="1">
  <autoFilter ref="H32:K38" xr:uid="{06F49454-1F93-4670-AB2A-9CDE914DC3AA}"/>
  <tableColumns count="4">
    <tableColumn id="1" xr3:uid="{704BD0D3-A2F3-4D98-A2AF-D76F0C24A7F8}" name="Departments" dataDxfId="62" totalsRowDxfId="61"/>
    <tableColumn id="2" xr3:uid="{1E7E7D51-8A6F-486E-8E41-1DA4A7FA881E}" name="Total Exits" dataDxfId="60" totalsRowDxfId="59">
      <calculatedColumnFormula>SUM(C17:D17)</calculatedColumnFormula>
    </tableColumn>
    <tableColumn id="3" xr3:uid="{47DFE954-AB60-46F8-AEBC-AD02DA75FEFA}" name="Grand Total" dataDxfId="58" totalsRowDxfId="57"/>
    <tableColumn id="4" xr3:uid="{C557CC6F-27BF-4DE9-922A-50B35A0AB251}" name="Attrition Rate" totalsRowFunction="custom" dataDxfId="56" totalsRowDxfId="55" dataCellStyle="Percent" totalsRowCellStyle="Percent">
      <calculatedColumnFormula xml:space="preserve"> I33/J33</calculatedColumnFormula>
      <totalsRowFormula>AVERAGE(Table3[Attrition Rate])</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58"/>
  <sheetViews>
    <sheetView tabSelected="1" zoomScale="80" zoomScaleNormal="80" workbookViewId="0">
      <selection activeCell="H17" sqref="H17"/>
    </sheetView>
  </sheetViews>
  <sheetFormatPr defaultRowHeight="14.5" x14ac:dyDescent="0.35"/>
  <cols>
    <col min="1" max="1" width="8.81640625" customWidth="1"/>
    <col min="2" max="2" width="12.36328125" style="2" customWidth="1"/>
    <col min="3" max="3" width="12.08984375" style="2" customWidth="1"/>
    <col min="4" max="4" width="17.1796875" bestFit="1" customWidth="1"/>
    <col min="5" max="5" width="11.6328125" customWidth="1"/>
    <col min="6" max="6" width="27.36328125" style="3" hidden="1" customWidth="1"/>
    <col min="7" max="8" width="27.36328125" style="3" customWidth="1"/>
    <col min="9" max="9" width="11.90625" style="4" bestFit="1" customWidth="1"/>
    <col min="10" max="10" width="11.81640625" style="6" customWidth="1"/>
    <col min="11" max="11" width="17.36328125" style="2" hidden="1" customWidth="1"/>
    <col min="12" max="12" width="24.26953125" customWidth="1"/>
    <col min="13" max="13" width="15" customWidth="1"/>
    <col min="14" max="14" width="18.36328125" customWidth="1"/>
    <col min="15" max="15" width="21.54296875" customWidth="1"/>
  </cols>
  <sheetData>
    <row r="1" spans="1:15" ht="15" thickBot="1" x14ac:dyDescent="0.4">
      <c r="A1" s="9" t="s">
        <v>0</v>
      </c>
      <c r="B1" s="10" t="s">
        <v>1</v>
      </c>
      <c r="C1" s="10" t="s">
        <v>2</v>
      </c>
      <c r="D1" s="9" t="s">
        <v>264</v>
      </c>
      <c r="E1" s="9" t="s">
        <v>3</v>
      </c>
      <c r="F1" s="11" t="s">
        <v>4</v>
      </c>
      <c r="G1" s="11" t="s">
        <v>265</v>
      </c>
      <c r="H1" s="11" t="s">
        <v>263</v>
      </c>
      <c r="I1" s="12" t="s">
        <v>5</v>
      </c>
      <c r="J1" s="13" t="s">
        <v>6</v>
      </c>
      <c r="K1" s="10" t="s">
        <v>7</v>
      </c>
      <c r="L1" s="14" t="s">
        <v>262</v>
      </c>
      <c r="M1" s="15" t="s">
        <v>266</v>
      </c>
      <c r="N1" s="15" t="s">
        <v>267</v>
      </c>
      <c r="O1" s="15" t="s">
        <v>268</v>
      </c>
    </row>
    <row r="2" spans="1:15" ht="15" thickTop="1" x14ac:dyDescent="0.35">
      <c r="A2" s="16" t="s">
        <v>8</v>
      </c>
      <c r="B2" s="17" t="s">
        <v>9</v>
      </c>
      <c r="C2" s="17" t="s">
        <v>10</v>
      </c>
      <c r="D2" s="18" t="str">
        <f>_xlfn.TEXTJOIN(" ", TRUE, B2, C2)</f>
        <v>Emily Brown</v>
      </c>
      <c r="E2" s="18" t="s">
        <v>11</v>
      </c>
      <c r="F2" s="19">
        <v>43093</v>
      </c>
      <c r="G2" s="19" t="str">
        <f>VLOOKUP(E2, Lookup_Departments!$A$2:$B$6, 2, FALSE)</f>
        <v>Information Technology</v>
      </c>
      <c r="H2" s="19">
        <f t="shared" ref="H2:H33" si="0">IFERROR(DATEVALUE(F2), F2)</f>
        <v>43093</v>
      </c>
      <c r="I2" s="20">
        <v>50361</v>
      </c>
      <c r="J2" s="21">
        <v>52</v>
      </c>
      <c r="K2" s="17" t="s">
        <v>38</v>
      </c>
      <c r="L2" s="22" t="str">
        <f t="shared" ref="L2:L33" si="1">TRIM(K2)</f>
        <v>Active</v>
      </c>
      <c r="M2" s="22" t="str">
        <f ca="1">ROUNDDOWN(YEARFRAC(H2, TODAY()), 2) &amp;" " &amp; "Years"</f>
        <v>8.53 Years</v>
      </c>
      <c r="N2" s="22" t="str">
        <f>VLOOKUP(J2, Lookup_Performance!$A$2:$D$6, 3, TRUE)</f>
        <v>Developing</v>
      </c>
      <c r="O2" s="23">
        <f>I2 * VLOOKUP(J2, Lookup_Performance!$A$2:$D$6, 4, TRUE)</f>
        <v>1007.22</v>
      </c>
    </row>
    <row r="3" spans="1:15" x14ac:dyDescent="0.35">
      <c r="A3" s="24" t="s">
        <v>12</v>
      </c>
      <c r="B3" s="25" t="s">
        <v>13</v>
      </c>
      <c r="C3" s="25" t="s">
        <v>14</v>
      </c>
      <c r="D3" s="26" t="str">
        <f t="shared" ref="D3:D66" si="2">_xlfn.TEXTJOIN(" ", TRUE, B3, C3)</f>
        <v>Richard Hernandez</v>
      </c>
      <c r="E3" s="26" t="s">
        <v>15</v>
      </c>
      <c r="F3" s="27">
        <v>44659</v>
      </c>
      <c r="G3" s="27" t="str">
        <f>VLOOKUP(E3, Lookup_Departments!$A$2:$B$7, 2, FALSE)</f>
        <v>Marketing</v>
      </c>
      <c r="H3" s="27">
        <f t="shared" si="0"/>
        <v>44659</v>
      </c>
      <c r="I3" s="28">
        <v>112673</v>
      </c>
      <c r="J3" s="29">
        <v>68.08</v>
      </c>
      <c r="K3" s="25" t="s">
        <v>260</v>
      </c>
      <c r="L3" s="26" t="str">
        <f t="shared" si="1"/>
        <v>Active</v>
      </c>
      <c r="M3" s="26" t="str">
        <f t="shared" ref="M3:M66" ca="1" si="3">ROUNDDOWN(YEARFRAC(H3, TODAY()), 2) &amp;" " &amp; "Years"</f>
        <v>4.24 Years</v>
      </c>
      <c r="N3" s="26" t="str">
        <f>VLOOKUP(J3, Lookup_Performance!$A$2:$D$6, 3, TRUE)</f>
        <v>Developing</v>
      </c>
      <c r="O3" s="28">
        <f>I3 * VLOOKUP(J3, Lookup_Performance!$A$2:$D$6, 4, TRUE)</f>
        <v>2253.46</v>
      </c>
    </row>
    <row r="4" spans="1:15" x14ac:dyDescent="0.35">
      <c r="A4" s="30" t="s">
        <v>16</v>
      </c>
      <c r="B4" s="31" t="s">
        <v>9</v>
      </c>
      <c r="C4" s="31" t="s">
        <v>17</v>
      </c>
      <c r="D4" s="32" t="str">
        <f t="shared" si="2"/>
        <v>Emily Gonzalez</v>
      </c>
      <c r="E4" s="32" t="s">
        <v>11</v>
      </c>
      <c r="F4" s="33">
        <v>42431</v>
      </c>
      <c r="G4" s="33" t="str">
        <f>VLOOKUP(E4, Lookup_Departments!$A$2:$B$7, 2, FALSE)</f>
        <v>Information Technology</v>
      </c>
      <c r="H4" s="33">
        <f t="shared" si="0"/>
        <v>42431</v>
      </c>
      <c r="I4" s="34">
        <v>114425</v>
      </c>
      <c r="J4" s="35">
        <v>54</v>
      </c>
      <c r="K4" s="31" t="s">
        <v>261</v>
      </c>
      <c r="L4" s="32" t="str">
        <f t="shared" si="1"/>
        <v>Left</v>
      </c>
      <c r="M4" s="32" t="str">
        <f t="shared" ca="1" si="3"/>
        <v>10.34 Years</v>
      </c>
      <c r="N4" s="32" t="str">
        <f>VLOOKUP(J4, Lookup_Performance!$A$2:$D$6, 3, TRUE)</f>
        <v>Developing</v>
      </c>
      <c r="O4" s="34">
        <f>I4 * VLOOKUP(J4, Lookup_Performance!$A$2:$D$6, 4, TRUE)</f>
        <v>2288.5</v>
      </c>
    </row>
    <row r="5" spans="1:15" x14ac:dyDescent="0.35">
      <c r="A5" s="24" t="s">
        <v>18</v>
      </c>
      <c r="B5" s="25" t="s">
        <v>19</v>
      </c>
      <c r="C5" s="25" t="s">
        <v>20</v>
      </c>
      <c r="D5" s="26" t="str">
        <f t="shared" si="2"/>
        <v>John Martinez</v>
      </c>
      <c r="E5" s="26" t="s">
        <v>21</v>
      </c>
      <c r="F5" s="27">
        <v>45110</v>
      </c>
      <c r="G5" s="27" t="str">
        <f>VLOOKUP(E5, Lookup_Departments!$A$2:$B$7, 2, FALSE)</f>
        <v>Finance</v>
      </c>
      <c r="H5" s="27">
        <f t="shared" si="0"/>
        <v>45110</v>
      </c>
      <c r="I5" s="28">
        <v>103831</v>
      </c>
      <c r="J5" s="29">
        <v>70</v>
      </c>
      <c r="K5" s="25" t="s">
        <v>38</v>
      </c>
      <c r="L5" s="26" t="str">
        <f t="shared" si="1"/>
        <v>Active</v>
      </c>
      <c r="M5" s="26" t="str">
        <f t="shared" ca="1" si="3"/>
        <v>3 Years</v>
      </c>
      <c r="N5" s="26" t="str">
        <f>VLOOKUP(J5, Lookup_Performance!$A$2:$D$6, 3, TRUE)</f>
        <v>Achieving</v>
      </c>
      <c r="O5" s="28">
        <f>I5 * VLOOKUP(J5, Lookup_Performance!$A$2:$D$6, 4, TRUE)</f>
        <v>5191.55</v>
      </c>
    </row>
    <row r="6" spans="1:15" x14ac:dyDescent="0.35">
      <c r="A6" s="30" t="s">
        <v>22</v>
      </c>
      <c r="B6" s="31" t="s">
        <v>23</v>
      </c>
      <c r="C6" s="31" t="s">
        <v>24</v>
      </c>
      <c r="D6" s="32" t="str">
        <f t="shared" si="2"/>
        <v>Thomas Smith</v>
      </c>
      <c r="E6" s="32" t="s">
        <v>11</v>
      </c>
      <c r="F6" s="33">
        <v>44977</v>
      </c>
      <c r="G6" s="33" t="str">
        <f>VLOOKUP(E6, Lookup_Departments!$A$2:$B$7, 2, FALSE)</f>
        <v>Information Technology</v>
      </c>
      <c r="H6" s="33">
        <f t="shared" si="0"/>
        <v>44977</v>
      </c>
      <c r="I6" s="34">
        <v>73785</v>
      </c>
      <c r="J6" s="35">
        <v>40</v>
      </c>
      <c r="K6" s="31" t="s">
        <v>25</v>
      </c>
      <c r="L6" s="32" t="str">
        <f t="shared" si="1"/>
        <v>Left</v>
      </c>
      <c r="M6" s="32" t="str">
        <f t="shared" ca="1" si="3"/>
        <v>3.37 Years</v>
      </c>
      <c r="N6" s="32" t="str">
        <f>VLOOKUP(J6, Lookup_Performance!$A$2:$D$6, 3, TRUE)</f>
        <v>Needs Improvement</v>
      </c>
      <c r="O6" s="34">
        <f>I6 * VLOOKUP(J6, Lookup_Performance!$A$2:$D$6, 4, TRUE)</f>
        <v>0</v>
      </c>
    </row>
    <row r="7" spans="1:15" x14ac:dyDescent="0.35">
      <c r="A7" s="24" t="s">
        <v>26</v>
      </c>
      <c r="B7" s="25" t="s">
        <v>9</v>
      </c>
      <c r="C7" s="25" t="s">
        <v>27</v>
      </c>
      <c r="D7" s="26" t="str">
        <f t="shared" si="2"/>
        <v>Emily Johnson</v>
      </c>
      <c r="E7" s="26" t="s">
        <v>28</v>
      </c>
      <c r="F7" s="27">
        <v>43892</v>
      </c>
      <c r="G7" s="27" t="str">
        <f>VLOOKUP(E7, Lookup_Departments!$A$2:$B$7, 2, FALSE)</f>
        <v>Operations</v>
      </c>
      <c r="H7" s="27">
        <f t="shared" si="0"/>
        <v>43892</v>
      </c>
      <c r="I7" s="28">
        <v>115882</v>
      </c>
      <c r="J7" s="29">
        <v>49</v>
      </c>
      <c r="K7" s="25" t="s">
        <v>260</v>
      </c>
      <c r="L7" s="26" t="str">
        <f t="shared" si="1"/>
        <v>Active</v>
      </c>
      <c r="M7" s="26" t="str">
        <f t="shared" ca="1" si="3"/>
        <v>6.34 Years</v>
      </c>
      <c r="N7" s="26" t="str">
        <f>VLOOKUP(J7, Lookup_Performance!$A$2:$D$6, 3, TRUE)</f>
        <v>Needs Improvement</v>
      </c>
      <c r="O7" s="28">
        <f>I7 * VLOOKUP(J7, Lookup_Performance!$A$2:$D$6, 4, TRUE)</f>
        <v>0</v>
      </c>
    </row>
    <row r="8" spans="1:15" x14ac:dyDescent="0.35">
      <c r="A8" s="30" t="s">
        <v>29</v>
      </c>
      <c r="B8" s="31" t="s">
        <v>19</v>
      </c>
      <c r="C8" s="31" t="s">
        <v>30</v>
      </c>
      <c r="D8" s="32" t="str">
        <f t="shared" si="2"/>
        <v>John Wilson</v>
      </c>
      <c r="E8" s="32" t="s">
        <v>28</v>
      </c>
      <c r="F8" s="33">
        <v>45272</v>
      </c>
      <c r="G8" s="33" t="str">
        <f>VLOOKUP(E8, Lookup_Departments!$A$2:$B$7, 2, FALSE)</f>
        <v>Operations</v>
      </c>
      <c r="H8" s="33">
        <f t="shared" si="0"/>
        <v>45272</v>
      </c>
      <c r="I8" s="34">
        <v>59980</v>
      </c>
      <c r="J8" s="35">
        <v>70</v>
      </c>
      <c r="K8" s="31" t="s">
        <v>25</v>
      </c>
      <c r="L8" s="32" t="str">
        <f t="shared" si="1"/>
        <v>Left</v>
      </c>
      <c r="M8" s="32" t="str">
        <f t="shared" ca="1" si="3"/>
        <v>2.56 Years</v>
      </c>
      <c r="N8" s="32" t="str">
        <f>VLOOKUP(J8, Lookup_Performance!$A$2:$D$6, 3, TRUE)</f>
        <v>Achieving</v>
      </c>
      <c r="O8" s="34">
        <f>I8 * VLOOKUP(J8, Lookup_Performance!$A$2:$D$6, 4, TRUE)</f>
        <v>2999</v>
      </c>
    </row>
    <row r="9" spans="1:15" x14ac:dyDescent="0.35">
      <c r="A9" s="24" t="s">
        <v>31</v>
      </c>
      <c r="B9" s="25" t="s">
        <v>32</v>
      </c>
      <c r="C9" s="25" t="s">
        <v>24</v>
      </c>
      <c r="D9" s="26" t="str">
        <f t="shared" si="2"/>
        <v>Jessica Smith</v>
      </c>
      <c r="E9" s="26" t="s">
        <v>28</v>
      </c>
      <c r="F9" s="27">
        <v>44174</v>
      </c>
      <c r="G9" s="27" t="str">
        <f>VLOOKUP(E9, Lookup_Departments!$A$2:$B$7, 2, FALSE)</f>
        <v>Operations</v>
      </c>
      <c r="H9" s="27">
        <f t="shared" si="0"/>
        <v>44174</v>
      </c>
      <c r="I9" s="28">
        <v>68728</v>
      </c>
      <c r="J9" s="29">
        <v>45</v>
      </c>
      <c r="K9" s="25" t="s">
        <v>260</v>
      </c>
      <c r="L9" s="26" t="str">
        <f t="shared" si="1"/>
        <v>Active</v>
      </c>
      <c r="M9" s="26" t="str">
        <f t="shared" ca="1" si="3"/>
        <v>5.57 Years</v>
      </c>
      <c r="N9" s="26" t="str">
        <f>VLOOKUP(J9, Lookup_Performance!$A$2:$D$6, 3, TRUE)</f>
        <v>Needs Improvement</v>
      </c>
      <c r="O9" s="28">
        <f>I9 * VLOOKUP(J9, Lookup_Performance!$A$2:$D$6, 4, TRUE)</f>
        <v>0</v>
      </c>
    </row>
    <row r="10" spans="1:15" x14ac:dyDescent="0.35">
      <c r="A10" s="30" t="s">
        <v>33</v>
      </c>
      <c r="B10" s="31"/>
      <c r="C10" s="31" t="s">
        <v>34</v>
      </c>
      <c r="D10" s="32" t="str">
        <f t="shared" si="2"/>
        <v>Rodriguez</v>
      </c>
      <c r="E10" s="32" t="s">
        <v>21</v>
      </c>
      <c r="F10" s="33">
        <v>43107</v>
      </c>
      <c r="G10" s="33" t="str">
        <f>VLOOKUP(E10, Lookup_Departments!$A$2:$B$7, 2, FALSE)</f>
        <v>Finance</v>
      </c>
      <c r="H10" s="33">
        <f t="shared" si="0"/>
        <v>43107</v>
      </c>
      <c r="I10" s="34">
        <v>102139</v>
      </c>
      <c r="J10" s="35">
        <v>79</v>
      </c>
      <c r="K10" s="31" t="s">
        <v>38</v>
      </c>
      <c r="L10" s="32" t="str">
        <f t="shared" si="1"/>
        <v>Active</v>
      </c>
      <c r="M10" s="32" t="str">
        <f t="shared" ca="1" si="3"/>
        <v>8.49 Years</v>
      </c>
      <c r="N10" s="32" t="str">
        <f>VLOOKUP(J10, Lookup_Performance!$A$2:$D$6, 3, TRUE)</f>
        <v>Achieving</v>
      </c>
      <c r="O10" s="34">
        <f>I10 * VLOOKUP(J10, Lookup_Performance!$A$2:$D$6, 4, TRUE)</f>
        <v>5106.9500000000007</v>
      </c>
    </row>
    <row r="11" spans="1:15" x14ac:dyDescent="0.35">
      <c r="A11" s="24" t="s">
        <v>35</v>
      </c>
      <c r="B11" s="25" t="s">
        <v>36</v>
      </c>
      <c r="C11" s="25" t="s">
        <v>20</v>
      </c>
      <c r="D11" s="26" t="str">
        <f t="shared" si="2"/>
        <v>Michael Martinez</v>
      </c>
      <c r="E11" s="26" t="s">
        <v>37</v>
      </c>
      <c r="F11" s="27">
        <v>42676</v>
      </c>
      <c r="G11" s="27" t="str">
        <f>VLOOKUP(E11, Lookup_Departments!$A$2:$B$7, 2, FALSE)</f>
        <v>Sales</v>
      </c>
      <c r="H11" s="27">
        <f t="shared" si="0"/>
        <v>42676</v>
      </c>
      <c r="I11" s="28">
        <v>94998</v>
      </c>
      <c r="J11" s="29">
        <v>58</v>
      </c>
      <c r="K11" s="25" t="s">
        <v>38</v>
      </c>
      <c r="L11" s="26" t="str">
        <f t="shared" si="1"/>
        <v>Active</v>
      </c>
      <c r="M11" s="26" t="str">
        <f t="shared" ca="1" si="3"/>
        <v>9.67 Years</v>
      </c>
      <c r="N11" s="26" t="str">
        <f>VLOOKUP(J11, Lookup_Performance!$A$2:$D$6, 3, TRUE)</f>
        <v>Developing</v>
      </c>
      <c r="O11" s="28">
        <f>I11 * VLOOKUP(J11, Lookup_Performance!$A$2:$D$6, 4, TRUE)</f>
        <v>1899.96</v>
      </c>
    </row>
    <row r="12" spans="1:15" x14ac:dyDescent="0.35">
      <c r="A12" s="30" t="s">
        <v>39</v>
      </c>
      <c r="B12" s="31" t="s">
        <v>9</v>
      </c>
      <c r="C12" s="31" t="s">
        <v>40</v>
      </c>
      <c r="D12" s="32" t="str">
        <f t="shared" si="2"/>
        <v>Emily Miller</v>
      </c>
      <c r="E12" s="32" t="s">
        <v>37</v>
      </c>
      <c r="F12" s="33">
        <v>43911</v>
      </c>
      <c r="G12" s="33" t="str">
        <f>VLOOKUP(E12, Lookup_Departments!$A$2:$B$7, 2, FALSE)</f>
        <v>Sales</v>
      </c>
      <c r="H12" s="33">
        <f t="shared" si="0"/>
        <v>43911</v>
      </c>
      <c r="I12" s="34">
        <v>118635</v>
      </c>
      <c r="J12" s="35">
        <v>49</v>
      </c>
      <c r="K12" s="31" t="s">
        <v>38</v>
      </c>
      <c r="L12" s="32" t="str">
        <f t="shared" si="1"/>
        <v>Active</v>
      </c>
      <c r="M12" s="32" t="str">
        <f t="shared" ca="1" si="3"/>
        <v>6.29 Years</v>
      </c>
      <c r="N12" s="32" t="str">
        <f>VLOOKUP(J12, Lookup_Performance!$A$2:$D$6, 3, TRUE)</f>
        <v>Needs Improvement</v>
      </c>
      <c r="O12" s="34">
        <f>I12 * VLOOKUP(J12, Lookup_Performance!$A$2:$D$6, 4, TRUE)</f>
        <v>0</v>
      </c>
    </row>
    <row r="13" spans="1:15" x14ac:dyDescent="0.35">
      <c r="A13" s="24" t="s">
        <v>41</v>
      </c>
      <c r="B13" s="25" t="s">
        <v>9</v>
      </c>
      <c r="C13" s="25" t="s">
        <v>14</v>
      </c>
      <c r="D13" s="26" t="str">
        <f t="shared" si="2"/>
        <v>Emily Hernandez</v>
      </c>
      <c r="E13" s="26" t="s">
        <v>11</v>
      </c>
      <c r="F13" s="27">
        <v>42425</v>
      </c>
      <c r="G13" s="27" t="str">
        <f>VLOOKUP(E13, Lookup_Departments!$A$2:$B$7, 2, FALSE)</f>
        <v>Information Technology</v>
      </c>
      <c r="H13" s="27">
        <f t="shared" si="0"/>
        <v>42425</v>
      </c>
      <c r="I13" s="28">
        <v>76918</v>
      </c>
      <c r="J13" s="29">
        <v>62</v>
      </c>
      <c r="K13" s="25" t="s">
        <v>38</v>
      </c>
      <c r="L13" s="26" t="str">
        <f t="shared" si="1"/>
        <v>Active</v>
      </c>
      <c r="M13" s="26" t="str">
        <f t="shared" ca="1" si="3"/>
        <v>10.36 Years</v>
      </c>
      <c r="N13" s="26" t="str">
        <f>VLOOKUP(J13, Lookup_Performance!$A$2:$D$6, 3, TRUE)</f>
        <v>Developing</v>
      </c>
      <c r="O13" s="28">
        <f>I13 * VLOOKUP(J13, Lookup_Performance!$A$2:$D$6, 4, TRUE)</f>
        <v>1538.3600000000001</v>
      </c>
    </row>
    <row r="14" spans="1:15" x14ac:dyDescent="0.35">
      <c r="A14" s="30" t="s">
        <v>42</v>
      </c>
      <c r="B14" s="31" t="s">
        <v>43</v>
      </c>
      <c r="C14" s="31" t="s">
        <v>44</v>
      </c>
      <c r="D14" s="32" t="str">
        <f t="shared" si="2"/>
        <v>Jane Williams</v>
      </c>
      <c r="E14" s="32" t="s">
        <v>15</v>
      </c>
      <c r="F14" s="33">
        <v>44364</v>
      </c>
      <c r="G14" s="33" t="str">
        <f>VLOOKUP(E14, Lookup_Departments!$A$2:$B$7, 2, FALSE)</f>
        <v>Marketing</v>
      </c>
      <c r="H14" s="33">
        <f t="shared" si="0"/>
        <v>44364</v>
      </c>
      <c r="I14" s="34">
        <v>61408</v>
      </c>
      <c r="J14" s="35">
        <v>48</v>
      </c>
      <c r="K14" s="31" t="s">
        <v>260</v>
      </c>
      <c r="L14" s="32" t="str">
        <f t="shared" si="1"/>
        <v>Active</v>
      </c>
      <c r="M14" s="32" t="str">
        <f t="shared" ca="1" si="3"/>
        <v>5.05 Years</v>
      </c>
      <c r="N14" s="32" t="str">
        <f>VLOOKUP(J14, Lookup_Performance!$A$2:$D$6, 3, TRUE)</f>
        <v>Needs Improvement</v>
      </c>
      <c r="O14" s="34">
        <f>I14 * VLOOKUP(J14, Lookup_Performance!$A$2:$D$6, 4, TRUE)</f>
        <v>0</v>
      </c>
    </row>
    <row r="15" spans="1:15" x14ac:dyDescent="0.35">
      <c r="A15" s="24" t="s">
        <v>45</v>
      </c>
      <c r="B15" s="25" t="s">
        <v>43</v>
      </c>
      <c r="C15" s="25" t="s">
        <v>40</v>
      </c>
      <c r="D15" s="26" t="str">
        <f t="shared" si="2"/>
        <v>Jane Miller</v>
      </c>
      <c r="E15" s="26" t="s">
        <v>15</v>
      </c>
      <c r="F15" s="27">
        <v>44001</v>
      </c>
      <c r="G15" s="27" t="str">
        <f>VLOOKUP(E15, Lookup_Departments!$A$2:$B$7, 2, FALSE)</f>
        <v>Marketing</v>
      </c>
      <c r="H15" s="27">
        <f t="shared" si="0"/>
        <v>44001</v>
      </c>
      <c r="I15" s="28">
        <v>99990</v>
      </c>
      <c r="J15" s="29">
        <v>54</v>
      </c>
      <c r="K15" s="25" t="s">
        <v>38</v>
      </c>
      <c r="L15" s="26" t="str">
        <f t="shared" si="1"/>
        <v>Active</v>
      </c>
      <c r="M15" s="26" t="str">
        <f t="shared" ca="1" si="3"/>
        <v>6.04 Years</v>
      </c>
      <c r="N15" s="26" t="str">
        <f>VLOOKUP(J15, Lookup_Performance!$A$2:$D$6, 3, TRUE)</f>
        <v>Developing</v>
      </c>
      <c r="O15" s="28">
        <f>I15 * VLOOKUP(J15, Lookup_Performance!$A$2:$D$6, 4, TRUE)</f>
        <v>1999.8</v>
      </c>
    </row>
    <row r="16" spans="1:15" x14ac:dyDescent="0.35">
      <c r="A16" s="30" t="s">
        <v>46</v>
      </c>
      <c r="B16" s="31" t="s">
        <v>47</v>
      </c>
      <c r="C16" s="31" t="s">
        <v>48</v>
      </c>
      <c r="D16" s="32" t="str">
        <f t="shared" si="2"/>
        <v>Robert Jones</v>
      </c>
      <c r="E16" s="32" t="s">
        <v>15</v>
      </c>
      <c r="F16" s="33">
        <v>43820</v>
      </c>
      <c r="G16" s="33" t="str">
        <f>VLOOKUP(E16, Lookup_Departments!$A$2:$B$7, 2, FALSE)</f>
        <v>Marketing</v>
      </c>
      <c r="H16" s="33">
        <f t="shared" si="0"/>
        <v>43820</v>
      </c>
      <c r="I16" s="34">
        <v>80385</v>
      </c>
      <c r="J16" s="35">
        <v>68.08</v>
      </c>
      <c r="K16" s="31" t="s">
        <v>38</v>
      </c>
      <c r="L16" s="32" t="str">
        <f t="shared" si="1"/>
        <v>Active</v>
      </c>
      <c r="M16" s="32" t="str">
        <f t="shared" ca="1" si="3"/>
        <v>6.54 Years</v>
      </c>
      <c r="N16" s="32" t="str">
        <f>VLOOKUP(J16, Lookup_Performance!$A$2:$D$6, 3, TRUE)</f>
        <v>Developing</v>
      </c>
      <c r="O16" s="34">
        <f>I16 * VLOOKUP(J16, Lookup_Performance!$A$2:$D$6, 4, TRUE)</f>
        <v>1607.7</v>
      </c>
    </row>
    <row r="17" spans="1:15" x14ac:dyDescent="0.35">
      <c r="A17" s="24" t="s">
        <v>49</v>
      </c>
      <c r="B17" s="25" t="s">
        <v>23</v>
      </c>
      <c r="C17" s="25" t="s">
        <v>34</v>
      </c>
      <c r="D17" s="26" t="str">
        <f t="shared" si="2"/>
        <v>Thomas Rodriguez</v>
      </c>
      <c r="E17" s="26" t="s">
        <v>37</v>
      </c>
      <c r="F17" s="27">
        <v>45169</v>
      </c>
      <c r="G17" s="27" t="str">
        <f>VLOOKUP(E17, Lookup_Departments!$A$2:$B$7, 2, FALSE)</f>
        <v>Sales</v>
      </c>
      <c r="H17" s="27">
        <f t="shared" si="0"/>
        <v>45169</v>
      </c>
      <c r="I17" s="28">
        <v>65290</v>
      </c>
      <c r="J17" s="29">
        <v>77</v>
      </c>
      <c r="K17" s="25" t="s">
        <v>38</v>
      </c>
      <c r="L17" s="26" t="str">
        <f t="shared" si="1"/>
        <v>Active</v>
      </c>
      <c r="M17" s="26" t="str">
        <f t="shared" ca="1" si="3"/>
        <v>2.85 Years</v>
      </c>
      <c r="N17" s="26" t="str">
        <f>VLOOKUP(J17, Lookup_Performance!$A$2:$D$6, 3, TRUE)</f>
        <v>Achieving</v>
      </c>
      <c r="O17" s="28">
        <f>I17 * VLOOKUP(J17, Lookup_Performance!$A$2:$D$6, 4, TRUE)</f>
        <v>3264.5</v>
      </c>
    </row>
    <row r="18" spans="1:15" x14ac:dyDescent="0.35">
      <c r="A18" s="30" t="s">
        <v>50</v>
      </c>
      <c r="B18" s="31" t="s">
        <v>9</v>
      </c>
      <c r="C18" s="31" t="s">
        <v>51</v>
      </c>
      <c r="D18" s="32" t="str">
        <f t="shared" si="2"/>
        <v>Emily Davis</v>
      </c>
      <c r="E18" s="32" t="s">
        <v>11</v>
      </c>
      <c r="F18" s="33">
        <v>42337</v>
      </c>
      <c r="G18" s="33" t="str">
        <f>VLOOKUP(E18, Lookup_Departments!$A$2:$B$7, 2, FALSE)</f>
        <v>Information Technology</v>
      </c>
      <c r="H18" s="33">
        <f t="shared" si="0"/>
        <v>42337</v>
      </c>
      <c r="I18" s="34">
        <v>105765</v>
      </c>
      <c r="J18" s="35">
        <v>42</v>
      </c>
      <c r="K18" s="31" t="s">
        <v>38</v>
      </c>
      <c r="L18" s="32" t="str">
        <f t="shared" si="1"/>
        <v>Active</v>
      </c>
      <c r="M18" s="32" t="str">
        <f t="shared" ca="1" si="3"/>
        <v>10.6 Years</v>
      </c>
      <c r="N18" s="32" t="str">
        <f>VLOOKUP(J18, Lookup_Performance!$A$2:$D$6, 3, TRUE)</f>
        <v>Needs Improvement</v>
      </c>
      <c r="O18" s="34">
        <f>I18 * VLOOKUP(J18, Lookup_Performance!$A$2:$D$6, 4, TRUE)</f>
        <v>0</v>
      </c>
    </row>
    <row r="19" spans="1:15" x14ac:dyDescent="0.35">
      <c r="A19" s="24" t="s">
        <v>52</v>
      </c>
      <c r="B19" s="25" t="s">
        <v>53</v>
      </c>
      <c r="C19" s="25" t="s">
        <v>20</v>
      </c>
      <c r="D19" s="26" t="str">
        <f t="shared" si="2"/>
        <v>James Martinez</v>
      </c>
      <c r="E19" s="26" t="s">
        <v>37</v>
      </c>
      <c r="F19" s="27">
        <v>42899</v>
      </c>
      <c r="G19" s="27" t="str">
        <f>VLOOKUP(E19, Lookup_Departments!$A$2:$B$7, 2, FALSE)</f>
        <v>Sales</v>
      </c>
      <c r="H19" s="27">
        <f t="shared" si="0"/>
        <v>42899</v>
      </c>
      <c r="I19" s="28">
        <v>102921</v>
      </c>
      <c r="J19" s="29">
        <v>49</v>
      </c>
      <c r="K19" s="25" t="s">
        <v>260</v>
      </c>
      <c r="L19" s="26" t="str">
        <f t="shared" si="1"/>
        <v>Active</v>
      </c>
      <c r="M19" s="26" t="str">
        <f t="shared" ca="1" si="3"/>
        <v>9.06 Years</v>
      </c>
      <c r="N19" s="26" t="str">
        <f>VLOOKUP(J19, Lookup_Performance!$A$2:$D$6, 3, TRUE)</f>
        <v>Needs Improvement</v>
      </c>
      <c r="O19" s="28">
        <f>I19 * VLOOKUP(J19, Lookup_Performance!$A$2:$D$6, 4, TRUE)</f>
        <v>0</v>
      </c>
    </row>
    <row r="20" spans="1:15" x14ac:dyDescent="0.35">
      <c r="A20" s="30" t="s">
        <v>54</v>
      </c>
      <c r="B20" s="31" t="s">
        <v>55</v>
      </c>
      <c r="C20" s="31" t="s">
        <v>56</v>
      </c>
      <c r="D20" s="32" t="str">
        <f t="shared" si="2"/>
        <v>Ashley Lopez</v>
      </c>
      <c r="E20" s="32" t="s">
        <v>15</v>
      </c>
      <c r="F20" s="33">
        <v>43235</v>
      </c>
      <c r="G20" s="33" t="str">
        <f>VLOOKUP(E20, Lookup_Departments!$A$2:$B$7, 2, FALSE)</f>
        <v>Marketing</v>
      </c>
      <c r="H20" s="33">
        <f t="shared" si="0"/>
        <v>43235</v>
      </c>
      <c r="I20" s="34">
        <v>73984</v>
      </c>
      <c r="J20" s="35">
        <v>93</v>
      </c>
      <c r="K20" s="31" t="s">
        <v>38</v>
      </c>
      <c r="L20" s="32" t="str">
        <f t="shared" si="1"/>
        <v>Active</v>
      </c>
      <c r="M20" s="32" t="str">
        <f t="shared" ca="1" si="3"/>
        <v>8.14 Years</v>
      </c>
      <c r="N20" s="32" t="str">
        <f>VLOOKUP(J20, Lookup_Performance!$A$2:$D$6, 3, TRUE)</f>
        <v>Exceeding</v>
      </c>
      <c r="O20" s="34">
        <f>I20 * VLOOKUP(J20, Lookup_Performance!$A$2:$D$6, 4, TRUE)</f>
        <v>5918.72</v>
      </c>
    </row>
    <row r="21" spans="1:15" x14ac:dyDescent="0.35">
      <c r="A21" s="24" t="s">
        <v>57</v>
      </c>
      <c r="B21" s="25" t="s">
        <v>58</v>
      </c>
      <c r="C21" s="25" t="s">
        <v>17</v>
      </c>
      <c r="D21" s="26" t="str">
        <f t="shared" si="2"/>
        <v>Amanda Gonzalez</v>
      </c>
      <c r="E21" s="26" t="s">
        <v>11</v>
      </c>
      <c r="F21" s="27">
        <v>42575</v>
      </c>
      <c r="G21" s="27" t="str">
        <f>VLOOKUP(E21, Lookup_Departments!$A$2:$B$7, 2, FALSE)</f>
        <v>Information Technology</v>
      </c>
      <c r="H21" s="27">
        <f t="shared" si="0"/>
        <v>42575</v>
      </c>
      <c r="I21" s="28">
        <v>83603.929999999993</v>
      </c>
      <c r="J21" s="29">
        <v>75</v>
      </c>
      <c r="K21" s="25" t="s">
        <v>38</v>
      </c>
      <c r="L21" s="26" t="str">
        <f t="shared" si="1"/>
        <v>Active</v>
      </c>
      <c r="M21" s="26" t="str">
        <f t="shared" ca="1" si="3"/>
        <v>9.95 Years</v>
      </c>
      <c r="N21" s="26" t="str">
        <f>VLOOKUP(J21, Lookup_Performance!$A$2:$D$6, 3, TRUE)</f>
        <v>Achieving</v>
      </c>
      <c r="O21" s="28">
        <f>I21 * VLOOKUP(J21, Lookup_Performance!$A$2:$D$6, 4, TRUE)</f>
        <v>4180.1965</v>
      </c>
    </row>
    <row r="22" spans="1:15" x14ac:dyDescent="0.35">
      <c r="A22" s="30" t="s">
        <v>59</v>
      </c>
      <c r="B22" s="31" t="s">
        <v>36</v>
      </c>
      <c r="C22" s="31" t="s">
        <v>14</v>
      </c>
      <c r="D22" s="32" t="str">
        <f t="shared" si="2"/>
        <v>Michael Hernandez</v>
      </c>
      <c r="E22" s="32" t="s">
        <v>21</v>
      </c>
      <c r="F22" s="33">
        <v>43076</v>
      </c>
      <c r="G22" s="33" t="str">
        <f>VLOOKUP(E22, Lookup_Departments!$A$2:$B$7, 2, FALSE)</f>
        <v>Finance</v>
      </c>
      <c r="H22" s="33">
        <f t="shared" si="0"/>
        <v>43076</v>
      </c>
      <c r="I22" s="34">
        <v>118527</v>
      </c>
      <c r="J22" s="35">
        <v>50</v>
      </c>
      <c r="K22" s="31" t="s">
        <v>38</v>
      </c>
      <c r="L22" s="32" t="str">
        <f t="shared" si="1"/>
        <v>Active</v>
      </c>
      <c r="M22" s="32" t="str">
        <f t="shared" ca="1" si="3"/>
        <v>8.58 Years</v>
      </c>
      <c r="N22" s="32" t="str">
        <f>VLOOKUP(J22, Lookup_Performance!$A$2:$D$6, 3, TRUE)</f>
        <v>Developing</v>
      </c>
      <c r="O22" s="34">
        <f>I22 * VLOOKUP(J22, Lookup_Performance!$A$2:$D$6, 4, TRUE)</f>
        <v>2370.54</v>
      </c>
    </row>
    <row r="23" spans="1:15" x14ac:dyDescent="0.35">
      <c r="A23" s="24" t="s">
        <v>60</v>
      </c>
      <c r="B23" s="25" t="s">
        <v>13</v>
      </c>
      <c r="C23" s="25" t="s">
        <v>14</v>
      </c>
      <c r="D23" s="26" t="str">
        <f t="shared" si="2"/>
        <v>Richard Hernandez</v>
      </c>
      <c r="E23" s="26" t="s">
        <v>15</v>
      </c>
      <c r="F23" s="27">
        <v>44353</v>
      </c>
      <c r="G23" s="27" t="str">
        <f>VLOOKUP(E23, Lookup_Departments!$A$2:$B$7, 2, FALSE)</f>
        <v>Marketing</v>
      </c>
      <c r="H23" s="27">
        <f t="shared" si="0"/>
        <v>44353</v>
      </c>
      <c r="I23" s="28">
        <v>107871</v>
      </c>
      <c r="J23" s="29">
        <v>88</v>
      </c>
      <c r="K23" s="25" t="s">
        <v>38</v>
      </c>
      <c r="L23" s="26" t="str">
        <f t="shared" si="1"/>
        <v>Active</v>
      </c>
      <c r="M23" s="26" t="str">
        <f t="shared" ca="1" si="3"/>
        <v>5.08 Years</v>
      </c>
      <c r="N23" s="26" t="str">
        <f>VLOOKUP(J23, Lookup_Performance!$A$2:$D$6, 3, TRUE)</f>
        <v>Exceeding</v>
      </c>
      <c r="O23" s="28">
        <f>I23 * VLOOKUP(J23, Lookup_Performance!$A$2:$D$6, 4, TRUE)</f>
        <v>8629.68</v>
      </c>
    </row>
    <row r="24" spans="1:15" x14ac:dyDescent="0.35">
      <c r="A24" s="30" t="s">
        <v>61</v>
      </c>
      <c r="B24" s="31" t="s">
        <v>36</v>
      </c>
      <c r="C24" s="31" t="s">
        <v>34</v>
      </c>
      <c r="D24" s="32" t="str">
        <f t="shared" si="2"/>
        <v>Michael Rodriguez</v>
      </c>
      <c r="E24" s="32" t="s">
        <v>11</v>
      </c>
      <c r="F24" s="33">
        <v>44815</v>
      </c>
      <c r="G24" s="33" t="str">
        <f>VLOOKUP(E24, Lookup_Departments!$A$2:$B$7, 2, FALSE)</f>
        <v>Information Technology</v>
      </c>
      <c r="H24" s="33">
        <f t="shared" si="0"/>
        <v>44815</v>
      </c>
      <c r="I24" s="34">
        <v>93956</v>
      </c>
      <c r="J24" s="35">
        <v>50</v>
      </c>
      <c r="K24" s="31" t="s">
        <v>261</v>
      </c>
      <c r="L24" s="32" t="str">
        <f t="shared" si="1"/>
        <v>Left</v>
      </c>
      <c r="M24" s="32" t="str">
        <f t="shared" ca="1" si="3"/>
        <v>3.81 Years</v>
      </c>
      <c r="N24" s="32" t="str">
        <f>VLOOKUP(J24, Lookup_Performance!$A$2:$D$6, 3, TRUE)</f>
        <v>Developing</v>
      </c>
      <c r="O24" s="34">
        <f>I24 * VLOOKUP(J24, Lookup_Performance!$A$2:$D$6, 4, TRUE)</f>
        <v>1879.1200000000001</v>
      </c>
    </row>
    <row r="25" spans="1:15" x14ac:dyDescent="0.35">
      <c r="A25" s="24" t="s">
        <v>62</v>
      </c>
      <c r="B25" s="25" t="s">
        <v>32</v>
      </c>
      <c r="C25" s="25" t="s">
        <v>27</v>
      </c>
      <c r="D25" s="26" t="str">
        <f t="shared" si="2"/>
        <v>Jessica Johnson</v>
      </c>
      <c r="E25" s="26" t="s">
        <v>21</v>
      </c>
      <c r="F25" s="27">
        <v>42565</v>
      </c>
      <c r="G25" s="27" t="str">
        <f>VLOOKUP(E25, Lookup_Departments!$A$2:$B$7, 2, FALSE)</f>
        <v>Finance</v>
      </c>
      <c r="H25" s="27">
        <f t="shared" si="0"/>
        <v>42565</v>
      </c>
      <c r="I25" s="28">
        <v>100851</v>
      </c>
      <c r="J25" s="29">
        <v>64</v>
      </c>
      <c r="K25" s="25" t="s">
        <v>260</v>
      </c>
      <c r="L25" s="26" t="str">
        <f t="shared" si="1"/>
        <v>Active</v>
      </c>
      <c r="M25" s="26" t="str">
        <f t="shared" ca="1" si="3"/>
        <v>9.97 Years</v>
      </c>
      <c r="N25" s="26" t="str">
        <f>VLOOKUP(J25, Lookup_Performance!$A$2:$D$6, 3, TRUE)</f>
        <v>Developing</v>
      </c>
      <c r="O25" s="28">
        <f>I25 * VLOOKUP(J25, Lookup_Performance!$A$2:$D$6, 4, TRUE)</f>
        <v>2017.02</v>
      </c>
    </row>
    <row r="26" spans="1:15" x14ac:dyDescent="0.35">
      <c r="A26" s="30" t="s">
        <v>63</v>
      </c>
      <c r="B26" s="31" t="s">
        <v>55</v>
      </c>
      <c r="C26" s="31" t="s">
        <v>44</v>
      </c>
      <c r="D26" s="32" t="str">
        <f t="shared" si="2"/>
        <v>Ashley Williams</v>
      </c>
      <c r="E26" s="32" t="s">
        <v>37</v>
      </c>
      <c r="F26" s="33">
        <v>44728</v>
      </c>
      <c r="G26" s="33" t="str">
        <f>VLOOKUP(E26, Lookup_Departments!$A$2:$B$7, 2, FALSE)</f>
        <v>Sales</v>
      </c>
      <c r="H26" s="33">
        <f t="shared" si="0"/>
        <v>44728</v>
      </c>
      <c r="I26" s="34">
        <v>68655</v>
      </c>
      <c r="J26" s="35">
        <v>32</v>
      </c>
      <c r="K26" s="31" t="s">
        <v>38</v>
      </c>
      <c r="L26" s="32" t="str">
        <f t="shared" si="1"/>
        <v>Active</v>
      </c>
      <c r="M26" s="32" t="str">
        <f t="shared" ca="1" si="3"/>
        <v>4.05 Years</v>
      </c>
      <c r="N26" s="32" t="str">
        <f>VLOOKUP(J26, Lookup_Performance!$A$2:$D$6, 3, TRUE)</f>
        <v>Needs Improvement</v>
      </c>
      <c r="O26" s="34">
        <f>I26 * VLOOKUP(J26, Lookup_Performance!$A$2:$D$6, 4, TRUE)</f>
        <v>0</v>
      </c>
    </row>
    <row r="27" spans="1:15" x14ac:dyDescent="0.35">
      <c r="A27" s="24" t="s">
        <v>64</v>
      </c>
      <c r="B27" s="25"/>
      <c r="C27" s="25" t="s">
        <v>44</v>
      </c>
      <c r="D27" s="26" t="str">
        <f t="shared" si="2"/>
        <v>Williams</v>
      </c>
      <c r="E27" s="26" t="s">
        <v>37</v>
      </c>
      <c r="F27" s="27">
        <v>45134</v>
      </c>
      <c r="G27" s="27" t="str">
        <f>VLOOKUP(E27, Lookup_Departments!$A$2:$B$7, 2, FALSE)</f>
        <v>Sales</v>
      </c>
      <c r="H27" s="27">
        <f t="shared" si="0"/>
        <v>45134</v>
      </c>
      <c r="I27" s="28">
        <v>81205</v>
      </c>
      <c r="J27" s="29">
        <v>59</v>
      </c>
      <c r="K27" s="25" t="s">
        <v>38</v>
      </c>
      <c r="L27" s="26" t="str">
        <f t="shared" si="1"/>
        <v>Active</v>
      </c>
      <c r="M27" s="26" t="str">
        <f t="shared" ca="1" si="3"/>
        <v>2.94 Years</v>
      </c>
      <c r="N27" s="26" t="str">
        <f>VLOOKUP(J27, Lookup_Performance!$A$2:$D$6, 3, TRUE)</f>
        <v>Developing</v>
      </c>
      <c r="O27" s="28">
        <f>I27 * VLOOKUP(J27, Lookup_Performance!$A$2:$D$6, 4, TRUE)</f>
        <v>1624.1000000000001</v>
      </c>
    </row>
    <row r="28" spans="1:15" x14ac:dyDescent="0.35">
      <c r="A28" s="30" t="s">
        <v>65</v>
      </c>
      <c r="B28" s="31" t="s">
        <v>19</v>
      </c>
      <c r="C28" s="31" t="s">
        <v>30</v>
      </c>
      <c r="D28" s="32" t="str">
        <f t="shared" si="2"/>
        <v>John Wilson</v>
      </c>
      <c r="E28" s="32" t="s">
        <v>37</v>
      </c>
      <c r="F28" s="33" t="s">
        <v>66</v>
      </c>
      <c r="G28" s="33" t="str">
        <f>VLOOKUP(E28, Lookup_Departments!$A$2:$B$7, 2, FALSE)</f>
        <v>Sales</v>
      </c>
      <c r="H28" s="33">
        <f t="shared" si="0"/>
        <v>43732</v>
      </c>
      <c r="I28" s="34">
        <v>77610</v>
      </c>
      <c r="J28" s="35">
        <v>88</v>
      </c>
      <c r="K28" s="31" t="s">
        <v>38</v>
      </c>
      <c r="L28" s="32" t="str">
        <f t="shared" si="1"/>
        <v>Active</v>
      </c>
      <c r="M28" s="32" t="str">
        <f t="shared" ca="1" si="3"/>
        <v>6.78 Years</v>
      </c>
      <c r="N28" s="32" t="str">
        <f>VLOOKUP(J28, Lookup_Performance!$A$2:$D$6, 3, TRUE)</f>
        <v>Exceeding</v>
      </c>
      <c r="O28" s="34">
        <f>I28 * VLOOKUP(J28, Lookup_Performance!$A$2:$D$6, 4, TRUE)</f>
        <v>6208.8</v>
      </c>
    </row>
    <row r="29" spans="1:15" x14ac:dyDescent="0.35">
      <c r="A29" s="24" t="s">
        <v>67</v>
      </c>
      <c r="B29" s="25" t="s">
        <v>23</v>
      </c>
      <c r="C29" s="25" t="s">
        <v>34</v>
      </c>
      <c r="D29" s="26" t="str">
        <f t="shared" si="2"/>
        <v>Thomas Rodriguez</v>
      </c>
      <c r="E29" s="26" t="s">
        <v>11</v>
      </c>
      <c r="F29" s="27">
        <v>44765</v>
      </c>
      <c r="G29" s="27" t="str">
        <f>VLOOKUP(E29, Lookup_Departments!$A$2:$B$7, 2, FALSE)</f>
        <v>Information Technology</v>
      </c>
      <c r="H29" s="27">
        <f t="shared" si="0"/>
        <v>44765</v>
      </c>
      <c r="I29" s="28">
        <v>50873</v>
      </c>
      <c r="J29" s="29">
        <v>90</v>
      </c>
      <c r="K29" s="25" t="s">
        <v>38</v>
      </c>
      <c r="L29" s="26" t="str">
        <f t="shared" si="1"/>
        <v>Active</v>
      </c>
      <c r="M29" s="26" t="str">
        <f t="shared" ca="1" si="3"/>
        <v>3.95 Years</v>
      </c>
      <c r="N29" s="26" t="str">
        <f>VLOOKUP(J29, Lookup_Performance!$A$2:$D$6, 3, TRUE)</f>
        <v>Exceeding</v>
      </c>
      <c r="O29" s="28">
        <f>I29 * VLOOKUP(J29, Lookup_Performance!$A$2:$D$6, 4, TRUE)</f>
        <v>4069.84</v>
      </c>
    </row>
    <row r="30" spans="1:15" x14ac:dyDescent="0.35">
      <c r="A30" s="30" t="s">
        <v>68</v>
      </c>
      <c r="B30" s="31" t="s">
        <v>36</v>
      </c>
      <c r="C30" s="31" t="s">
        <v>30</v>
      </c>
      <c r="D30" s="32" t="str">
        <f t="shared" si="2"/>
        <v>Michael Wilson</v>
      </c>
      <c r="E30" s="32" t="s">
        <v>21</v>
      </c>
      <c r="F30" s="33" t="s">
        <v>69</v>
      </c>
      <c r="G30" s="33" t="str">
        <f>VLOOKUP(E30, Lookup_Departments!$A$2:$B$7, 2, FALSE)</f>
        <v>Finance</v>
      </c>
      <c r="H30" s="33">
        <f t="shared" si="0"/>
        <v>43233</v>
      </c>
      <c r="I30" s="34">
        <v>85312</v>
      </c>
      <c r="J30" s="35">
        <v>66</v>
      </c>
      <c r="K30" s="31" t="s">
        <v>38</v>
      </c>
      <c r="L30" s="32" t="str">
        <f t="shared" si="1"/>
        <v>Active</v>
      </c>
      <c r="M30" s="32" t="str">
        <f t="shared" ca="1" si="3"/>
        <v>8.14 Years</v>
      </c>
      <c r="N30" s="32" t="str">
        <f>VLOOKUP(J30, Lookup_Performance!$A$2:$D$6, 3, TRUE)</f>
        <v>Developing</v>
      </c>
      <c r="O30" s="34">
        <f>I30 * VLOOKUP(J30, Lookup_Performance!$A$2:$D$6, 4, TRUE)</f>
        <v>1706.24</v>
      </c>
    </row>
    <row r="31" spans="1:15" x14ac:dyDescent="0.35">
      <c r="A31" s="24" t="s">
        <v>70</v>
      </c>
      <c r="B31" s="25" t="s">
        <v>19</v>
      </c>
      <c r="C31" s="25" t="s">
        <v>34</v>
      </c>
      <c r="D31" s="26" t="str">
        <f t="shared" si="2"/>
        <v>John Rodriguez</v>
      </c>
      <c r="E31" s="26" t="s">
        <v>37</v>
      </c>
      <c r="F31" s="27">
        <v>42202</v>
      </c>
      <c r="G31" s="27" t="str">
        <f>VLOOKUP(E31, Lookup_Departments!$A$2:$B$7, 2, FALSE)</f>
        <v>Sales</v>
      </c>
      <c r="H31" s="27">
        <f t="shared" si="0"/>
        <v>42202</v>
      </c>
      <c r="I31" s="28">
        <v>83603.929999999993</v>
      </c>
      <c r="J31" s="29">
        <v>68</v>
      </c>
      <c r="K31" s="25" t="s">
        <v>38</v>
      </c>
      <c r="L31" s="26" t="str">
        <f t="shared" si="1"/>
        <v>Active</v>
      </c>
      <c r="M31" s="26" t="str">
        <f t="shared" ca="1" si="3"/>
        <v>10.96 Years</v>
      </c>
      <c r="N31" s="26" t="str">
        <f>VLOOKUP(J31, Lookup_Performance!$A$2:$D$6, 3, TRUE)</f>
        <v>Developing</v>
      </c>
      <c r="O31" s="28">
        <f>I31 * VLOOKUP(J31, Lookup_Performance!$A$2:$D$6, 4, TRUE)</f>
        <v>1672.0785999999998</v>
      </c>
    </row>
    <row r="32" spans="1:15" x14ac:dyDescent="0.35">
      <c r="A32" s="30" t="s">
        <v>71</v>
      </c>
      <c r="B32" s="31" t="s">
        <v>23</v>
      </c>
      <c r="C32" s="31" t="s">
        <v>14</v>
      </c>
      <c r="D32" s="32" t="str">
        <f t="shared" si="2"/>
        <v>Thomas Hernandez</v>
      </c>
      <c r="E32" s="32" t="s">
        <v>28</v>
      </c>
      <c r="F32" s="33" t="s">
        <v>72</v>
      </c>
      <c r="G32" s="33" t="str">
        <f>VLOOKUP(E32, Lookup_Departments!$A$2:$B$7, 2, FALSE)</f>
        <v>Operations</v>
      </c>
      <c r="H32" s="33">
        <f t="shared" si="0"/>
        <v>42221</v>
      </c>
      <c r="I32" s="34">
        <v>97055</v>
      </c>
      <c r="J32" s="35">
        <v>80</v>
      </c>
      <c r="K32" s="31" t="s">
        <v>38</v>
      </c>
      <c r="L32" s="32" t="str">
        <f t="shared" si="1"/>
        <v>Active</v>
      </c>
      <c r="M32" s="32" t="str">
        <f t="shared" ca="1" si="3"/>
        <v>10.91 Years</v>
      </c>
      <c r="N32" s="32" t="str">
        <f>VLOOKUP(J32, Lookup_Performance!$A$2:$D$6, 3, TRUE)</f>
        <v>Achieving</v>
      </c>
      <c r="O32" s="34">
        <f>I32 * VLOOKUP(J32, Lookup_Performance!$A$2:$D$6, 4, TRUE)</f>
        <v>4852.75</v>
      </c>
    </row>
    <row r="33" spans="1:15" x14ac:dyDescent="0.35">
      <c r="A33" s="24" t="s">
        <v>73</v>
      </c>
      <c r="B33" s="25" t="s">
        <v>36</v>
      </c>
      <c r="C33" s="25" t="s">
        <v>27</v>
      </c>
      <c r="D33" s="26" t="str">
        <f t="shared" si="2"/>
        <v>Michael Johnson</v>
      </c>
      <c r="E33" s="26" t="s">
        <v>11</v>
      </c>
      <c r="F33" s="27">
        <v>45195</v>
      </c>
      <c r="G33" s="27" t="str">
        <f>VLOOKUP(E33, Lookup_Departments!$A$2:$B$7, 2, FALSE)</f>
        <v>Information Technology</v>
      </c>
      <c r="H33" s="27">
        <f t="shared" si="0"/>
        <v>45195</v>
      </c>
      <c r="I33" s="28">
        <v>66069</v>
      </c>
      <c r="J33" s="29">
        <v>72</v>
      </c>
      <c r="K33" s="25" t="s">
        <v>38</v>
      </c>
      <c r="L33" s="26" t="str">
        <f t="shared" si="1"/>
        <v>Active</v>
      </c>
      <c r="M33" s="26" t="str">
        <f t="shared" ca="1" si="3"/>
        <v>2.77 Years</v>
      </c>
      <c r="N33" s="26" t="str">
        <f>VLOOKUP(J33, Lookup_Performance!$A$2:$D$6, 3, TRUE)</f>
        <v>Achieving</v>
      </c>
      <c r="O33" s="28">
        <f>I33 * VLOOKUP(J33, Lookup_Performance!$A$2:$D$6, 4, TRUE)</f>
        <v>3303.4500000000003</v>
      </c>
    </row>
    <row r="34" spans="1:15" x14ac:dyDescent="0.35">
      <c r="A34" s="30" t="s">
        <v>74</v>
      </c>
      <c r="B34" s="31" t="s">
        <v>75</v>
      </c>
      <c r="C34" s="31" t="s">
        <v>10</v>
      </c>
      <c r="D34" s="32" t="str">
        <f t="shared" si="2"/>
        <v>Sarah Brown</v>
      </c>
      <c r="E34" s="32" t="s">
        <v>11</v>
      </c>
      <c r="F34" s="33" t="s">
        <v>76</v>
      </c>
      <c r="G34" s="33" t="str">
        <f>VLOOKUP(E34, Lookup_Departments!$A$2:$B$7, 2, FALSE)</f>
        <v>Information Technology</v>
      </c>
      <c r="H34" s="33">
        <f t="shared" ref="H34:H65" si="4">IFERROR(DATEVALUE(F34), F34)</f>
        <v>43626</v>
      </c>
      <c r="I34" s="34">
        <v>90157</v>
      </c>
      <c r="J34" s="35">
        <v>58</v>
      </c>
      <c r="K34" s="31" t="s">
        <v>38</v>
      </c>
      <c r="L34" s="32" t="str">
        <f t="shared" ref="L34:L65" si="5">TRIM(K34)</f>
        <v>Active</v>
      </c>
      <c r="M34" s="32" t="str">
        <f t="shared" ca="1" si="3"/>
        <v>7.07 Years</v>
      </c>
      <c r="N34" s="32" t="str">
        <f>VLOOKUP(J34, Lookup_Performance!$A$2:$D$6, 3, TRUE)</f>
        <v>Developing</v>
      </c>
      <c r="O34" s="34">
        <f>I34 * VLOOKUP(J34, Lookup_Performance!$A$2:$D$6, 4, TRUE)</f>
        <v>1803.14</v>
      </c>
    </row>
    <row r="35" spans="1:15" x14ac:dyDescent="0.35">
      <c r="A35" s="24" t="s">
        <v>77</v>
      </c>
      <c r="B35" s="25" t="s">
        <v>43</v>
      </c>
      <c r="C35" s="25" t="s">
        <v>20</v>
      </c>
      <c r="D35" s="26" t="str">
        <f t="shared" si="2"/>
        <v>Jane Martinez</v>
      </c>
      <c r="E35" s="26" t="s">
        <v>78</v>
      </c>
      <c r="F35" s="27">
        <v>44578</v>
      </c>
      <c r="G35" s="27" t="str">
        <f>VLOOKUP(E35, Lookup_Departments!$A$2:$B$7, 2, FALSE)</f>
        <v>Human Resources</v>
      </c>
      <c r="H35" s="27">
        <f t="shared" si="4"/>
        <v>44578</v>
      </c>
      <c r="I35" s="28">
        <v>59899</v>
      </c>
      <c r="J35" s="29">
        <v>78</v>
      </c>
      <c r="K35" s="25" t="s">
        <v>38</v>
      </c>
      <c r="L35" s="26" t="str">
        <f t="shared" si="5"/>
        <v>Active</v>
      </c>
      <c r="M35" s="26" t="str">
        <f t="shared" ca="1" si="3"/>
        <v>4.46 Years</v>
      </c>
      <c r="N35" s="26" t="str">
        <f>VLOOKUP(J35, Lookup_Performance!$A$2:$D$6, 3, TRUE)</f>
        <v>Achieving</v>
      </c>
      <c r="O35" s="28">
        <f>I35 * VLOOKUP(J35, Lookup_Performance!$A$2:$D$6, 4, TRUE)</f>
        <v>2994.9500000000003</v>
      </c>
    </row>
    <row r="36" spans="1:15" x14ac:dyDescent="0.35">
      <c r="A36" s="30" t="s">
        <v>79</v>
      </c>
      <c r="B36" s="31" t="s">
        <v>9</v>
      </c>
      <c r="C36" s="31" t="s">
        <v>48</v>
      </c>
      <c r="D36" s="32" t="str">
        <f t="shared" si="2"/>
        <v>Emily Jones</v>
      </c>
      <c r="E36" s="32" t="s">
        <v>21</v>
      </c>
      <c r="F36" s="33" t="s">
        <v>80</v>
      </c>
      <c r="G36" s="33" t="str">
        <f>VLOOKUP(E36, Lookup_Departments!$A$2:$B$7, 2, FALSE)</f>
        <v>Finance</v>
      </c>
      <c r="H36" s="33">
        <f t="shared" si="4"/>
        <v>42919</v>
      </c>
      <c r="I36" s="34">
        <v>113389</v>
      </c>
      <c r="J36" s="35">
        <v>30</v>
      </c>
      <c r="K36" s="31" t="s">
        <v>260</v>
      </c>
      <c r="L36" s="32" t="str">
        <f t="shared" si="5"/>
        <v>Active</v>
      </c>
      <c r="M36" s="32" t="str">
        <f t="shared" ca="1" si="3"/>
        <v>9 Years</v>
      </c>
      <c r="N36" s="32" t="str">
        <f>VLOOKUP(J36, Lookup_Performance!$A$2:$D$6, 3, TRUE)</f>
        <v>Needs Improvement</v>
      </c>
      <c r="O36" s="34">
        <f>I36 * VLOOKUP(J36, Lookup_Performance!$A$2:$D$6, 4, TRUE)</f>
        <v>0</v>
      </c>
    </row>
    <row r="37" spans="1:15" x14ac:dyDescent="0.35">
      <c r="A37" s="24" t="s">
        <v>81</v>
      </c>
      <c r="B37" s="25"/>
      <c r="C37" s="25" t="s">
        <v>10</v>
      </c>
      <c r="D37" s="26" t="str">
        <f t="shared" si="2"/>
        <v>Brown</v>
      </c>
      <c r="E37" s="26" t="s">
        <v>11</v>
      </c>
      <c r="F37" s="27" t="s">
        <v>82</v>
      </c>
      <c r="G37" s="27" t="str">
        <f>VLOOKUP(E37, Lookup_Departments!$A$2:$B$7, 2, FALSE)</f>
        <v>Information Technology</v>
      </c>
      <c r="H37" s="27">
        <f t="shared" si="4"/>
        <v>42248</v>
      </c>
      <c r="I37" s="28">
        <v>102691</v>
      </c>
      <c r="J37" s="29">
        <v>52</v>
      </c>
      <c r="K37" s="25" t="s">
        <v>38</v>
      </c>
      <c r="L37" s="26" t="str">
        <f t="shared" si="5"/>
        <v>Active</v>
      </c>
      <c r="M37" s="26" t="str">
        <f t="shared" ca="1" si="3"/>
        <v>10.84 Years</v>
      </c>
      <c r="N37" s="26" t="str">
        <f>VLOOKUP(J37, Lookup_Performance!$A$2:$D$6, 3, TRUE)</f>
        <v>Developing</v>
      </c>
      <c r="O37" s="28">
        <f>I37 * VLOOKUP(J37, Lookup_Performance!$A$2:$D$6, 4, TRUE)</f>
        <v>2053.8200000000002</v>
      </c>
    </row>
    <row r="38" spans="1:15" x14ac:dyDescent="0.35">
      <c r="A38" s="30" t="s">
        <v>83</v>
      </c>
      <c r="B38" s="31" t="s">
        <v>19</v>
      </c>
      <c r="C38" s="31" t="s">
        <v>30</v>
      </c>
      <c r="D38" s="32" t="str">
        <f t="shared" si="2"/>
        <v>John Wilson</v>
      </c>
      <c r="E38" s="32" t="s">
        <v>28</v>
      </c>
      <c r="F38" s="33" t="s">
        <v>84</v>
      </c>
      <c r="G38" s="33" t="str">
        <f>VLOOKUP(E38, Lookup_Departments!$A$2:$B$7, 2, FALSE)</f>
        <v>Operations</v>
      </c>
      <c r="H38" s="33">
        <f t="shared" si="4"/>
        <v>44776</v>
      </c>
      <c r="I38" s="34">
        <v>111845</v>
      </c>
      <c r="J38" s="35">
        <v>98</v>
      </c>
      <c r="K38" s="31" t="s">
        <v>38</v>
      </c>
      <c r="L38" s="32" t="str">
        <f t="shared" si="5"/>
        <v>Active</v>
      </c>
      <c r="M38" s="32" t="str">
        <f t="shared" ca="1" si="3"/>
        <v>3.92 Years</v>
      </c>
      <c r="N38" s="32" t="str">
        <f>VLOOKUP(J38, Lookup_Performance!$A$2:$D$6, 3, TRUE)</f>
        <v>Outstanding</v>
      </c>
      <c r="O38" s="34">
        <f>I38 * VLOOKUP(J38, Lookup_Performance!$A$2:$D$6, 4, TRUE)</f>
        <v>13421.4</v>
      </c>
    </row>
    <row r="39" spans="1:15" x14ac:dyDescent="0.35">
      <c r="A39" s="24" t="s">
        <v>85</v>
      </c>
      <c r="B39" s="25" t="s">
        <v>86</v>
      </c>
      <c r="C39" s="25" t="s">
        <v>10</v>
      </c>
      <c r="D39" s="26" t="str">
        <f t="shared" si="2"/>
        <v>Melissa Brown</v>
      </c>
      <c r="E39" s="26" t="s">
        <v>37</v>
      </c>
      <c r="F39" s="27" t="s">
        <v>87</v>
      </c>
      <c r="G39" s="27" t="str">
        <f>VLOOKUP(E39, Lookup_Departments!$A$2:$B$7, 2, FALSE)</f>
        <v>Sales</v>
      </c>
      <c r="H39" s="27">
        <f t="shared" si="4"/>
        <v>44741</v>
      </c>
      <c r="I39" s="28">
        <v>69219</v>
      </c>
      <c r="J39" s="29">
        <v>93</v>
      </c>
      <c r="K39" s="25" t="s">
        <v>38</v>
      </c>
      <c r="L39" s="26" t="str">
        <f t="shared" si="5"/>
        <v>Active</v>
      </c>
      <c r="M39" s="26" t="str">
        <f t="shared" ca="1" si="3"/>
        <v>4.01 Years</v>
      </c>
      <c r="N39" s="26" t="str">
        <f>VLOOKUP(J39, Lookup_Performance!$A$2:$D$6, 3, TRUE)</f>
        <v>Exceeding</v>
      </c>
      <c r="O39" s="28">
        <f>I39 * VLOOKUP(J39, Lookup_Performance!$A$2:$D$6, 4, TRUE)</f>
        <v>5537.52</v>
      </c>
    </row>
    <row r="40" spans="1:15" x14ac:dyDescent="0.35">
      <c r="A40" s="30" t="s">
        <v>88</v>
      </c>
      <c r="B40" s="31" t="s">
        <v>36</v>
      </c>
      <c r="C40" s="31" t="s">
        <v>24</v>
      </c>
      <c r="D40" s="32" t="str">
        <f t="shared" si="2"/>
        <v>Michael Smith</v>
      </c>
      <c r="E40" s="32" t="s">
        <v>21</v>
      </c>
      <c r="F40" s="33">
        <v>43949</v>
      </c>
      <c r="G40" s="33" t="str">
        <f>VLOOKUP(E40, Lookup_Departments!$A$2:$B$7, 2, FALSE)</f>
        <v>Finance</v>
      </c>
      <c r="H40" s="33">
        <f t="shared" si="4"/>
        <v>43949</v>
      </c>
      <c r="I40" s="34">
        <v>83603.929999999993</v>
      </c>
      <c r="J40" s="35">
        <v>80</v>
      </c>
      <c r="K40" s="31" t="s">
        <v>25</v>
      </c>
      <c r="L40" s="32" t="str">
        <f t="shared" si="5"/>
        <v>Left</v>
      </c>
      <c r="M40" s="32" t="str">
        <f t="shared" ca="1" si="3"/>
        <v>6.18 Years</v>
      </c>
      <c r="N40" s="32" t="str">
        <f>VLOOKUP(J40, Lookup_Performance!$A$2:$D$6, 3, TRUE)</f>
        <v>Achieving</v>
      </c>
      <c r="O40" s="34">
        <f>I40 * VLOOKUP(J40, Lookup_Performance!$A$2:$D$6, 4, TRUE)</f>
        <v>4180.1965</v>
      </c>
    </row>
    <row r="41" spans="1:15" x14ac:dyDescent="0.35">
      <c r="A41" s="24" t="s">
        <v>89</v>
      </c>
      <c r="B41" s="25" t="s">
        <v>75</v>
      </c>
      <c r="C41" s="25" t="s">
        <v>40</v>
      </c>
      <c r="D41" s="26" t="str">
        <f t="shared" si="2"/>
        <v>Sarah Miller</v>
      </c>
      <c r="E41" s="26" t="s">
        <v>28</v>
      </c>
      <c r="F41" s="27" t="s">
        <v>90</v>
      </c>
      <c r="G41" s="27" t="str">
        <f>VLOOKUP(E41, Lookup_Departments!$A$2:$B$7, 2, FALSE)</f>
        <v>Operations</v>
      </c>
      <c r="H41" s="27">
        <f t="shared" si="4"/>
        <v>42987</v>
      </c>
      <c r="I41" s="28">
        <v>57514</v>
      </c>
      <c r="J41" s="29">
        <v>68.08</v>
      </c>
      <c r="K41" s="25" t="s">
        <v>38</v>
      </c>
      <c r="L41" s="26" t="str">
        <f t="shared" si="5"/>
        <v>Active</v>
      </c>
      <c r="M41" s="26" t="str">
        <f t="shared" ca="1" si="3"/>
        <v>8.82 Years</v>
      </c>
      <c r="N41" s="26" t="str">
        <f>VLOOKUP(J41, Lookup_Performance!$A$2:$D$6, 3, TRUE)</f>
        <v>Developing</v>
      </c>
      <c r="O41" s="28">
        <f>I41 * VLOOKUP(J41, Lookup_Performance!$A$2:$D$6, 4, TRUE)</f>
        <v>1150.28</v>
      </c>
    </row>
    <row r="42" spans="1:15" x14ac:dyDescent="0.35">
      <c r="A42" s="30" t="s">
        <v>91</v>
      </c>
      <c r="B42" s="31" t="s">
        <v>9</v>
      </c>
      <c r="C42" s="31" t="s">
        <v>30</v>
      </c>
      <c r="D42" s="32" t="str">
        <f t="shared" si="2"/>
        <v>Emily Wilson</v>
      </c>
      <c r="E42" s="32" t="s">
        <v>37</v>
      </c>
      <c r="F42" s="33">
        <v>43181</v>
      </c>
      <c r="G42" s="33" t="str">
        <f>VLOOKUP(E42, Lookup_Departments!$A$2:$B$7, 2, FALSE)</f>
        <v>Sales</v>
      </c>
      <c r="H42" s="33">
        <f t="shared" si="4"/>
        <v>43181</v>
      </c>
      <c r="I42" s="34">
        <v>86245</v>
      </c>
      <c r="J42" s="35">
        <v>71</v>
      </c>
      <c r="K42" s="31" t="s">
        <v>261</v>
      </c>
      <c r="L42" s="32" t="str">
        <f t="shared" si="5"/>
        <v>Left</v>
      </c>
      <c r="M42" s="32" t="str">
        <f t="shared" ca="1" si="3"/>
        <v>8.28 Years</v>
      </c>
      <c r="N42" s="32" t="str">
        <f>VLOOKUP(J42, Lookup_Performance!$A$2:$D$6, 3, TRUE)</f>
        <v>Achieving</v>
      </c>
      <c r="O42" s="34">
        <f>I42 * VLOOKUP(J42, Lookup_Performance!$A$2:$D$6, 4, TRUE)</f>
        <v>4312.25</v>
      </c>
    </row>
    <row r="43" spans="1:15" x14ac:dyDescent="0.35">
      <c r="A43" s="24" t="s">
        <v>92</v>
      </c>
      <c r="B43" s="25" t="s">
        <v>93</v>
      </c>
      <c r="C43" s="25" t="s">
        <v>14</v>
      </c>
      <c r="D43" s="26" t="str">
        <f t="shared" si="2"/>
        <v>David Hernandez</v>
      </c>
      <c r="E43" s="26" t="s">
        <v>37</v>
      </c>
      <c r="F43" s="27">
        <v>43958</v>
      </c>
      <c r="G43" s="27" t="str">
        <f>VLOOKUP(E43, Lookup_Departments!$A$2:$B$7, 2, FALSE)</f>
        <v>Sales</v>
      </c>
      <c r="H43" s="27">
        <f t="shared" si="4"/>
        <v>43958</v>
      </c>
      <c r="I43" s="28">
        <v>52407</v>
      </c>
      <c r="J43" s="29">
        <v>55</v>
      </c>
      <c r="K43" s="25" t="s">
        <v>38</v>
      </c>
      <c r="L43" s="26" t="str">
        <f t="shared" si="5"/>
        <v>Active</v>
      </c>
      <c r="M43" s="26" t="str">
        <f t="shared" ca="1" si="3"/>
        <v>6.16 Years</v>
      </c>
      <c r="N43" s="26" t="str">
        <f>VLOOKUP(J43, Lookup_Performance!$A$2:$D$6, 3, TRUE)</f>
        <v>Developing</v>
      </c>
      <c r="O43" s="28">
        <f>I43 * VLOOKUP(J43, Lookup_Performance!$A$2:$D$6, 4, TRUE)</f>
        <v>1048.1400000000001</v>
      </c>
    </row>
    <row r="44" spans="1:15" x14ac:dyDescent="0.35">
      <c r="A44" s="30" t="s">
        <v>94</v>
      </c>
      <c r="B44" s="31" t="s">
        <v>53</v>
      </c>
      <c r="C44" s="31" t="s">
        <v>24</v>
      </c>
      <c r="D44" s="32" t="str">
        <f t="shared" si="2"/>
        <v>James Smith</v>
      </c>
      <c r="E44" s="32" t="s">
        <v>28</v>
      </c>
      <c r="F44" s="33">
        <v>43549</v>
      </c>
      <c r="G44" s="33" t="str">
        <f>VLOOKUP(E44, Lookup_Departments!$A$2:$B$7, 2, FALSE)</f>
        <v>Operations</v>
      </c>
      <c r="H44" s="33">
        <f t="shared" si="4"/>
        <v>43549</v>
      </c>
      <c r="I44" s="34">
        <v>66606</v>
      </c>
      <c r="J44" s="35">
        <v>93</v>
      </c>
      <c r="K44" s="31" t="s">
        <v>95</v>
      </c>
      <c r="L44" s="32" t="str">
        <f t="shared" si="5"/>
        <v>Resigned</v>
      </c>
      <c r="M44" s="32" t="str">
        <f t="shared" ca="1" si="3"/>
        <v>7.28 Years</v>
      </c>
      <c r="N44" s="32" t="str">
        <f>VLOOKUP(J44, Lookup_Performance!$A$2:$D$6, 3, TRUE)</f>
        <v>Exceeding</v>
      </c>
      <c r="O44" s="34">
        <f>I44 * VLOOKUP(J44, Lookup_Performance!$A$2:$D$6, 4, TRUE)</f>
        <v>5328.4800000000005</v>
      </c>
    </row>
    <row r="45" spans="1:15" x14ac:dyDescent="0.35">
      <c r="A45" s="24" t="s">
        <v>96</v>
      </c>
      <c r="B45" s="25" t="s">
        <v>75</v>
      </c>
      <c r="C45" s="25" t="s">
        <v>44</v>
      </c>
      <c r="D45" s="26" t="str">
        <f t="shared" si="2"/>
        <v>Sarah Williams</v>
      </c>
      <c r="E45" s="26" t="s">
        <v>11</v>
      </c>
      <c r="F45" s="27">
        <v>43686</v>
      </c>
      <c r="G45" s="27" t="str">
        <f>VLOOKUP(E45, Lookup_Departments!$A$2:$B$7, 2, FALSE)</f>
        <v>Information Technology</v>
      </c>
      <c r="H45" s="27">
        <f t="shared" si="4"/>
        <v>43686</v>
      </c>
      <c r="I45" s="28">
        <v>81896</v>
      </c>
      <c r="J45" s="29">
        <v>79</v>
      </c>
      <c r="K45" s="25" t="s">
        <v>95</v>
      </c>
      <c r="L45" s="26" t="str">
        <f t="shared" si="5"/>
        <v>Resigned</v>
      </c>
      <c r="M45" s="26" t="str">
        <f t="shared" ca="1" si="3"/>
        <v>6.9 Years</v>
      </c>
      <c r="N45" s="26" t="str">
        <f>VLOOKUP(J45, Lookup_Performance!$A$2:$D$6, 3, TRUE)</f>
        <v>Achieving</v>
      </c>
      <c r="O45" s="28">
        <f>I45 * VLOOKUP(J45, Lookup_Performance!$A$2:$D$6, 4, TRUE)</f>
        <v>4094.8</v>
      </c>
    </row>
    <row r="46" spans="1:15" x14ac:dyDescent="0.35">
      <c r="A46" s="30" t="s">
        <v>97</v>
      </c>
      <c r="B46" s="31" t="s">
        <v>58</v>
      </c>
      <c r="C46" s="31" t="s">
        <v>56</v>
      </c>
      <c r="D46" s="32" t="str">
        <f t="shared" si="2"/>
        <v>Amanda Lopez</v>
      </c>
      <c r="E46" s="32" t="s">
        <v>37</v>
      </c>
      <c r="F46" s="33" t="s">
        <v>98</v>
      </c>
      <c r="G46" s="33" t="str">
        <f>VLOOKUP(E46, Lookup_Departments!$A$2:$B$7, 2, FALSE)</f>
        <v>Sales</v>
      </c>
      <c r="H46" s="33">
        <f t="shared" si="4"/>
        <v>42565</v>
      </c>
      <c r="I46" s="34">
        <v>78402</v>
      </c>
      <c r="J46" s="35">
        <v>54</v>
      </c>
      <c r="K46" s="31" t="s">
        <v>260</v>
      </c>
      <c r="L46" s="32" t="str">
        <f t="shared" si="5"/>
        <v>Active</v>
      </c>
      <c r="M46" s="32" t="str">
        <f t="shared" ca="1" si="3"/>
        <v>9.97 Years</v>
      </c>
      <c r="N46" s="32" t="str">
        <f>VLOOKUP(J46, Lookup_Performance!$A$2:$D$6, 3, TRUE)</f>
        <v>Developing</v>
      </c>
      <c r="O46" s="34">
        <f>I46 * VLOOKUP(J46, Lookup_Performance!$A$2:$D$6, 4, TRUE)</f>
        <v>1568.04</v>
      </c>
    </row>
    <row r="47" spans="1:15" x14ac:dyDescent="0.35">
      <c r="A47" s="24" t="s">
        <v>99</v>
      </c>
      <c r="B47" s="25" t="s">
        <v>23</v>
      </c>
      <c r="C47" s="25" t="s">
        <v>56</v>
      </c>
      <c r="D47" s="26" t="str">
        <f t="shared" si="2"/>
        <v>Thomas Lopez</v>
      </c>
      <c r="E47" s="26" t="s">
        <v>28</v>
      </c>
      <c r="F47" s="27">
        <v>42647</v>
      </c>
      <c r="G47" s="27" t="str">
        <f>VLOOKUP(E47, Lookup_Departments!$A$2:$B$7, 2, FALSE)</f>
        <v>Operations</v>
      </c>
      <c r="H47" s="27">
        <f t="shared" si="4"/>
        <v>42647</v>
      </c>
      <c r="I47" s="28">
        <v>105498</v>
      </c>
      <c r="J47" s="29">
        <v>76</v>
      </c>
      <c r="K47" s="25" t="s">
        <v>38</v>
      </c>
      <c r="L47" s="26" t="str">
        <f t="shared" si="5"/>
        <v>Active</v>
      </c>
      <c r="M47" s="26" t="str">
        <f t="shared" ca="1" si="3"/>
        <v>9.75 Years</v>
      </c>
      <c r="N47" s="26" t="str">
        <f>VLOOKUP(J47, Lookup_Performance!$A$2:$D$6, 3, TRUE)</f>
        <v>Achieving</v>
      </c>
      <c r="O47" s="28">
        <f>I47 * VLOOKUP(J47, Lookup_Performance!$A$2:$D$6, 4, TRUE)</f>
        <v>5274.9000000000005</v>
      </c>
    </row>
    <row r="48" spans="1:15" x14ac:dyDescent="0.35">
      <c r="A48" s="30" t="s">
        <v>100</v>
      </c>
      <c r="B48" s="31" t="s">
        <v>86</v>
      </c>
      <c r="C48" s="31" t="s">
        <v>27</v>
      </c>
      <c r="D48" s="32" t="str">
        <f t="shared" si="2"/>
        <v>Melissa Johnson</v>
      </c>
      <c r="E48" s="32" t="s">
        <v>15</v>
      </c>
      <c r="F48" s="33" t="s">
        <v>101</v>
      </c>
      <c r="G48" s="33" t="str">
        <f>VLOOKUP(E48, Lookup_Departments!$A$2:$B$7, 2, FALSE)</f>
        <v>Marketing</v>
      </c>
      <c r="H48" s="33">
        <f t="shared" si="4"/>
        <v>43656</v>
      </c>
      <c r="I48" s="34">
        <v>91749</v>
      </c>
      <c r="J48" s="35">
        <v>72</v>
      </c>
      <c r="K48" s="31" t="s">
        <v>25</v>
      </c>
      <c r="L48" s="32" t="str">
        <f t="shared" si="5"/>
        <v>Left</v>
      </c>
      <c r="M48" s="32" t="str">
        <f t="shared" ca="1" si="3"/>
        <v>6.98 Years</v>
      </c>
      <c r="N48" s="32" t="str">
        <f>VLOOKUP(J48, Lookup_Performance!$A$2:$D$6, 3, TRUE)</f>
        <v>Achieving</v>
      </c>
      <c r="O48" s="34">
        <f>I48 * VLOOKUP(J48, Lookup_Performance!$A$2:$D$6, 4, TRUE)</f>
        <v>4587.45</v>
      </c>
    </row>
    <row r="49" spans="1:15" x14ac:dyDescent="0.35">
      <c r="A49" s="24" t="s">
        <v>102</v>
      </c>
      <c r="B49" s="25" t="s">
        <v>58</v>
      </c>
      <c r="C49" s="25" t="s">
        <v>27</v>
      </c>
      <c r="D49" s="26" t="str">
        <f t="shared" si="2"/>
        <v>Amanda Johnson</v>
      </c>
      <c r="E49" s="26" t="s">
        <v>28</v>
      </c>
      <c r="F49" s="27">
        <v>44437</v>
      </c>
      <c r="G49" s="27" t="str">
        <f>VLOOKUP(E49, Lookup_Departments!$A$2:$B$7, 2, FALSE)</f>
        <v>Operations</v>
      </c>
      <c r="H49" s="27">
        <f t="shared" si="4"/>
        <v>44437</v>
      </c>
      <c r="I49" s="28">
        <v>99935</v>
      </c>
      <c r="J49" s="29">
        <v>84</v>
      </c>
      <c r="K49" s="25" t="s">
        <v>95</v>
      </c>
      <c r="L49" s="26" t="str">
        <f t="shared" si="5"/>
        <v>Resigned</v>
      </c>
      <c r="M49" s="26" t="str">
        <f t="shared" ca="1" si="3"/>
        <v>4.85 Years</v>
      </c>
      <c r="N49" s="26" t="str">
        <f>VLOOKUP(J49, Lookup_Performance!$A$2:$D$6, 3, TRUE)</f>
        <v>Achieving</v>
      </c>
      <c r="O49" s="28">
        <f>I49 * VLOOKUP(J49, Lookup_Performance!$A$2:$D$6, 4, TRUE)</f>
        <v>4996.75</v>
      </c>
    </row>
    <row r="50" spans="1:15" x14ac:dyDescent="0.35">
      <c r="A50" s="30" t="s">
        <v>103</v>
      </c>
      <c r="B50" s="31" t="s">
        <v>19</v>
      </c>
      <c r="C50" s="31" t="s">
        <v>51</v>
      </c>
      <c r="D50" s="32" t="str">
        <f t="shared" si="2"/>
        <v>John Davis</v>
      </c>
      <c r="E50" s="32" t="s">
        <v>11</v>
      </c>
      <c r="F50" s="33">
        <v>42761</v>
      </c>
      <c r="G50" s="33" t="str">
        <f>VLOOKUP(E50, Lookup_Departments!$A$2:$B$7, 2, FALSE)</f>
        <v>Information Technology</v>
      </c>
      <c r="H50" s="33">
        <f t="shared" si="4"/>
        <v>42761</v>
      </c>
      <c r="I50" s="34">
        <v>83531</v>
      </c>
      <c r="J50" s="35">
        <v>30</v>
      </c>
      <c r="K50" s="31" t="s">
        <v>25</v>
      </c>
      <c r="L50" s="32" t="str">
        <f t="shared" si="5"/>
        <v>Left</v>
      </c>
      <c r="M50" s="32" t="str">
        <f t="shared" ca="1" si="3"/>
        <v>9.44 Years</v>
      </c>
      <c r="N50" s="32" t="str">
        <f>VLOOKUP(J50, Lookup_Performance!$A$2:$D$6, 3, TRUE)</f>
        <v>Needs Improvement</v>
      </c>
      <c r="O50" s="34">
        <f>I50 * VLOOKUP(J50, Lookup_Performance!$A$2:$D$6, 4, TRUE)</f>
        <v>0</v>
      </c>
    </row>
    <row r="51" spans="1:15" x14ac:dyDescent="0.35">
      <c r="A51" s="24" t="s">
        <v>104</v>
      </c>
      <c r="B51" s="25" t="s">
        <v>53</v>
      </c>
      <c r="C51" s="25" t="s">
        <v>27</v>
      </c>
      <c r="D51" s="26" t="str">
        <f t="shared" si="2"/>
        <v>James Johnson</v>
      </c>
      <c r="E51" s="26" t="s">
        <v>15</v>
      </c>
      <c r="F51" s="27">
        <v>43981</v>
      </c>
      <c r="G51" s="27" t="str">
        <f>VLOOKUP(E51, Lookup_Departments!$A$2:$B$7, 2, FALSE)</f>
        <v>Marketing</v>
      </c>
      <c r="H51" s="27">
        <f t="shared" si="4"/>
        <v>43981</v>
      </c>
      <c r="I51" s="28">
        <v>75023</v>
      </c>
      <c r="J51" s="29">
        <v>68.08</v>
      </c>
      <c r="K51" s="25" t="s">
        <v>260</v>
      </c>
      <c r="L51" s="26" t="str">
        <f t="shared" si="5"/>
        <v>Active</v>
      </c>
      <c r="M51" s="26" t="str">
        <f t="shared" ca="1" si="3"/>
        <v>6.1 Years</v>
      </c>
      <c r="N51" s="26" t="str">
        <f>VLOOKUP(J51, Lookup_Performance!$A$2:$D$6, 3, TRUE)</f>
        <v>Developing</v>
      </c>
      <c r="O51" s="28">
        <f>I51 * VLOOKUP(J51, Lookup_Performance!$A$2:$D$6, 4, TRUE)</f>
        <v>1500.46</v>
      </c>
    </row>
    <row r="52" spans="1:15" x14ac:dyDescent="0.35">
      <c r="A52" s="30" t="s">
        <v>105</v>
      </c>
      <c r="B52" s="31" t="s">
        <v>43</v>
      </c>
      <c r="C52" s="31" t="s">
        <v>51</v>
      </c>
      <c r="D52" s="32" t="str">
        <f t="shared" si="2"/>
        <v>Jane Davis</v>
      </c>
      <c r="E52" s="32" t="s">
        <v>78</v>
      </c>
      <c r="F52" s="33">
        <v>44612</v>
      </c>
      <c r="G52" s="33" t="str">
        <f>VLOOKUP(E52, Lookup_Departments!$A$2:$B$7, 2, FALSE)</f>
        <v>Human Resources</v>
      </c>
      <c r="H52" s="33">
        <f t="shared" si="4"/>
        <v>44612</v>
      </c>
      <c r="I52" s="34">
        <v>93290</v>
      </c>
      <c r="J52" s="35">
        <v>53</v>
      </c>
      <c r="K52" s="31" t="s">
        <v>260</v>
      </c>
      <c r="L52" s="32" t="str">
        <f t="shared" si="5"/>
        <v>Active</v>
      </c>
      <c r="M52" s="32" t="str">
        <f t="shared" ca="1" si="3"/>
        <v>4.37 Years</v>
      </c>
      <c r="N52" s="32" t="str">
        <f>VLOOKUP(J52, Lookup_Performance!$A$2:$D$6, 3, TRUE)</f>
        <v>Developing</v>
      </c>
      <c r="O52" s="34">
        <f>I52 * VLOOKUP(J52, Lookup_Performance!$A$2:$D$6, 4, TRUE)</f>
        <v>1865.8</v>
      </c>
    </row>
    <row r="53" spans="1:15" x14ac:dyDescent="0.35">
      <c r="A53" s="24" t="s">
        <v>106</v>
      </c>
      <c r="B53" s="25" t="s">
        <v>13</v>
      </c>
      <c r="C53" s="25" t="s">
        <v>51</v>
      </c>
      <c r="D53" s="26" t="str">
        <f t="shared" si="2"/>
        <v>Richard Davis</v>
      </c>
      <c r="E53" s="26" t="s">
        <v>28</v>
      </c>
      <c r="F53" s="27">
        <v>42628</v>
      </c>
      <c r="G53" s="27" t="str">
        <f>VLOOKUP(E53, Lookup_Departments!$A$2:$B$7, 2, FALSE)</f>
        <v>Operations</v>
      </c>
      <c r="H53" s="27">
        <f t="shared" si="4"/>
        <v>42628</v>
      </c>
      <c r="I53" s="28">
        <v>115527</v>
      </c>
      <c r="J53" s="29">
        <v>63</v>
      </c>
      <c r="K53" s="25" t="s">
        <v>95</v>
      </c>
      <c r="L53" s="26" t="str">
        <f t="shared" si="5"/>
        <v>Resigned</v>
      </c>
      <c r="M53" s="26" t="str">
        <f t="shared" ca="1" si="3"/>
        <v>9.8 Years</v>
      </c>
      <c r="N53" s="26" t="str">
        <f>VLOOKUP(J53, Lookup_Performance!$A$2:$D$6, 3, TRUE)</f>
        <v>Developing</v>
      </c>
      <c r="O53" s="28">
        <f>I53 * VLOOKUP(J53, Lookup_Performance!$A$2:$D$6, 4, TRUE)</f>
        <v>2310.54</v>
      </c>
    </row>
    <row r="54" spans="1:15" x14ac:dyDescent="0.35">
      <c r="A54" s="30" t="s">
        <v>107</v>
      </c>
      <c r="B54" s="31" t="s">
        <v>23</v>
      </c>
      <c r="C54" s="31" t="s">
        <v>34</v>
      </c>
      <c r="D54" s="32" t="str">
        <f t="shared" si="2"/>
        <v>Thomas Rodriguez</v>
      </c>
      <c r="E54" s="32" t="s">
        <v>21</v>
      </c>
      <c r="F54" s="33" t="s">
        <v>108</v>
      </c>
      <c r="G54" s="33" t="str">
        <f>VLOOKUP(E54, Lookup_Departments!$A$2:$B$7, 2, FALSE)</f>
        <v>Finance</v>
      </c>
      <c r="H54" s="33">
        <f t="shared" si="4"/>
        <v>43745</v>
      </c>
      <c r="I54" s="34">
        <v>55920</v>
      </c>
      <c r="J54" s="35">
        <v>84</v>
      </c>
      <c r="K54" s="31" t="s">
        <v>38</v>
      </c>
      <c r="L54" s="32" t="str">
        <f t="shared" si="5"/>
        <v>Active</v>
      </c>
      <c r="M54" s="32" t="str">
        <f t="shared" ca="1" si="3"/>
        <v>6.74 Years</v>
      </c>
      <c r="N54" s="32" t="str">
        <f>VLOOKUP(J54, Lookup_Performance!$A$2:$D$6, 3, TRUE)</f>
        <v>Achieving</v>
      </c>
      <c r="O54" s="34">
        <f>I54 * VLOOKUP(J54, Lookup_Performance!$A$2:$D$6, 4, TRUE)</f>
        <v>2796</v>
      </c>
    </row>
    <row r="55" spans="1:15" x14ac:dyDescent="0.35">
      <c r="A55" s="24" t="s">
        <v>109</v>
      </c>
      <c r="B55" s="25" t="s">
        <v>9</v>
      </c>
      <c r="C55" s="25" t="s">
        <v>27</v>
      </c>
      <c r="D55" s="26" t="str">
        <f t="shared" si="2"/>
        <v>Emily Johnson</v>
      </c>
      <c r="E55" s="26" t="s">
        <v>37</v>
      </c>
      <c r="F55" s="27">
        <v>43464</v>
      </c>
      <c r="G55" s="27" t="str">
        <f>VLOOKUP(E55, Lookup_Departments!$A$2:$B$7, 2, FALSE)</f>
        <v>Sales</v>
      </c>
      <c r="H55" s="27">
        <f t="shared" si="4"/>
        <v>43464</v>
      </c>
      <c r="I55" s="28">
        <v>80189</v>
      </c>
      <c r="J55" s="29">
        <v>30</v>
      </c>
      <c r="K55" s="25" t="s">
        <v>38</v>
      </c>
      <c r="L55" s="26" t="str">
        <f t="shared" si="5"/>
        <v>Active</v>
      </c>
      <c r="M55" s="26" t="str">
        <f t="shared" ca="1" si="3"/>
        <v>7.51 Years</v>
      </c>
      <c r="N55" s="26" t="str">
        <f>VLOOKUP(J55, Lookup_Performance!$A$2:$D$6, 3, TRUE)</f>
        <v>Needs Improvement</v>
      </c>
      <c r="O55" s="28">
        <f>I55 * VLOOKUP(J55, Lookup_Performance!$A$2:$D$6, 4, TRUE)</f>
        <v>0</v>
      </c>
    </row>
    <row r="56" spans="1:15" x14ac:dyDescent="0.35">
      <c r="A56" s="30" t="s">
        <v>110</v>
      </c>
      <c r="B56" s="31" t="s">
        <v>9</v>
      </c>
      <c r="C56" s="31" t="s">
        <v>111</v>
      </c>
      <c r="D56" s="32" t="str">
        <f t="shared" si="2"/>
        <v>Emily Garcia</v>
      </c>
      <c r="E56" s="32" t="s">
        <v>78</v>
      </c>
      <c r="F56" s="33">
        <v>44189</v>
      </c>
      <c r="G56" s="33" t="str">
        <f>VLOOKUP(E56, Lookup_Departments!$A$2:$B$7, 2, FALSE)</f>
        <v>Human Resources</v>
      </c>
      <c r="H56" s="33">
        <f t="shared" si="4"/>
        <v>44189</v>
      </c>
      <c r="I56" s="34">
        <v>118947</v>
      </c>
      <c r="J56" s="35">
        <v>96</v>
      </c>
      <c r="K56" s="31" t="s">
        <v>38</v>
      </c>
      <c r="L56" s="32" t="str">
        <f t="shared" si="5"/>
        <v>Active</v>
      </c>
      <c r="M56" s="32" t="str">
        <f t="shared" ca="1" si="3"/>
        <v>5.53 Years</v>
      </c>
      <c r="N56" s="32" t="str">
        <f>VLOOKUP(J56, Lookup_Performance!$A$2:$D$6, 3, TRUE)</f>
        <v>Outstanding</v>
      </c>
      <c r="O56" s="34">
        <f>I56 * VLOOKUP(J56, Lookup_Performance!$A$2:$D$6, 4, TRUE)</f>
        <v>14273.64</v>
      </c>
    </row>
    <row r="57" spans="1:15" x14ac:dyDescent="0.35">
      <c r="A57" s="24" t="s">
        <v>112</v>
      </c>
      <c r="B57" s="25" t="s">
        <v>43</v>
      </c>
      <c r="C57" s="25" t="s">
        <v>113</v>
      </c>
      <c r="D57" s="26" t="str">
        <f t="shared" si="2"/>
        <v>Jane Anderson</v>
      </c>
      <c r="E57" s="26" t="s">
        <v>11</v>
      </c>
      <c r="F57" s="27">
        <v>45112</v>
      </c>
      <c r="G57" s="27" t="str">
        <f>VLOOKUP(E57, Lookup_Departments!$A$2:$B$7, 2, FALSE)</f>
        <v>Information Technology</v>
      </c>
      <c r="H57" s="27">
        <f t="shared" si="4"/>
        <v>45112</v>
      </c>
      <c r="I57" s="28">
        <v>83603.929999999993</v>
      </c>
      <c r="J57" s="29">
        <v>54</v>
      </c>
      <c r="K57" s="25" t="s">
        <v>38</v>
      </c>
      <c r="L57" s="26" t="str">
        <f t="shared" si="5"/>
        <v>Active</v>
      </c>
      <c r="M57" s="26" t="str">
        <f t="shared" ca="1" si="3"/>
        <v>3 Years</v>
      </c>
      <c r="N57" s="26" t="str">
        <f>VLOOKUP(J57, Lookup_Performance!$A$2:$D$6, 3, TRUE)</f>
        <v>Developing</v>
      </c>
      <c r="O57" s="28">
        <f>I57 * VLOOKUP(J57, Lookup_Performance!$A$2:$D$6, 4, TRUE)</f>
        <v>1672.0785999999998</v>
      </c>
    </row>
    <row r="58" spans="1:15" x14ac:dyDescent="0.35">
      <c r="A58" s="30" t="s">
        <v>114</v>
      </c>
      <c r="B58" s="31" t="s">
        <v>23</v>
      </c>
      <c r="C58" s="31" t="s">
        <v>111</v>
      </c>
      <c r="D58" s="32" t="str">
        <f t="shared" si="2"/>
        <v>Thomas Garcia</v>
      </c>
      <c r="E58" s="32" t="s">
        <v>28</v>
      </c>
      <c r="F58" s="33">
        <v>44148</v>
      </c>
      <c r="G58" s="33" t="str">
        <f>VLOOKUP(E58, Lookup_Departments!$A$2:$B$7, 2, FALSE)</f>
        <v>Operations</v>
      </c>
      <c r="H58" s="33">
        <f t="shared" si="4"/>
        <v>44148</v>
      </c>
      <c r="I58" s="34">
        <v>83603.929999999993</v>
      </c>
      <c r="J58" s="35">
        <v>75</v>
      </c>
      <c r="K58" s="31" t="s">
        <v>38</v>
      </c>
      <c r="L58" s="32" t="str">
        <f t="shared" si="5"/>
        <v>Active</v>
      </c>
      <c r="M58" s="32" t="str">
        <f t="shared" ca="1" si="3"/>
        <v>5.64 Years</v>
      </c>
      <c r="N58" s="32" t="str">
        <f>VLOOKUP(J58, Lookup_Performance!$A$2:$D$6, 3, TRUE)</f>
        <v>Achieving</v>
      </c>
      <c r="O58" s="34">
        <f>I58 * VLOOKUP(J58, Lookup_Performance!$A$2:$D$6, 4, TRUE)</f>
        <v>4180.1965</v>
      </c>
    </row>
    <row r="59" spans="1:15" x14ac:dyDescent="0.35">
      <c r="A59" s="24" t="s">
        <v>115</v>
      </c>
      <c r="B59" s="25" t="s">
        <v>93</v>
      </c>
      <c r="C59" s="25" t="s">
        <v>20</v>
      </c>
      <c r="D59" s="26" t="str">
        <f t="shared" si="2"/>
        <v>David Martinez</v>
      </c>
      <c r="E59" s="26" t="s">
        <v>78</v>
      </c>
      <c r="F59" s="27" t="s">
        <v>116</v>
      </c>
      <c r="G59" s="27" t="str">
        <f>VLOOKUP(E59, Lookup_Departments!$A$2:$B$7, 2, FALSE)</f>
        <v>Human Resources</v>
      </c>
      <c r="H59" s="27">
        <f t="shared" si="4"/>
        <v>43138</v>
      </c>
      <c r="I59" s="28">
        <v>91655</v>
      </c>
      <c r="J59" s="29">
        <v>95</v>
      </c>
      <c r="K59" s="25" t="s">
        <v>38</v>
      </c>
      <c r="L59" s="26" t="str">
        <f t="shared" si="5"/>
        <v>Active</v>
      </c>
      <c r="M59" s="26" t="str">
        <f t="shared" ca="1" si="3"/>
        <v>8.41 Years</v>
      </c>
      <c r="N59" s="26" t="str">
        <f>VLOOKUP(J59, Lookup_Performance!$A$2:$D$6, 3, TRUE)</f>
        <v>Outstanding</v>
      </c>
      <c r="O59" s="28">
        <f>I59 * VLOOKUP(J59, Lookup_Performance!$A$2:$D$6, 4, TRUE)</f>
        <v>10998.6</v>
      </c>
    </row>
    <row r="60" spans="1:15" x14ac:dyDescent="0.35">
      <c r="A60" s="30" t="s">
        <v>117</v>
      </c>
      <c r="B60" s="31" t="s">
        <v>9</v>
      </c>
      <c r="C60" s="31" t="s">
        <v>10</v>
      </c>
      <c r="D60" s="32" t="str">
        <f t="shared" si="2"/>
        <v>Emily Brown</v>
      </c>
      <c r="E60" s="32" t="s">
        <v>11</v>
      </c>
      <c r="F60" s="33">
        <v>45255</v>
      </c>
      <c r="G60" s="33" t="str">
        <f>VLOOKUP(E60, Lookup_Departments!$A$2:$B$7, 2, FALSE)</f>
        <v>Information Technology</v>
      </c>
      <c r="H60" s="33">
        <f t="shared" si="4"/>
        <v>45255</v>
      </c>
      <c r="I60" s="34">
        <v>49435</v>
      </c>
      <c r="J60" s="35">
        <v>68.08</v>
      </c>
      <c r="K60" s="31" t="s">
        <v>25</v>
      </c>
      <c r="L60" s="32" t="str">
        <f t="shared" si="5"/>
        <v>Left</v>
      </c>
      <c r="M60" s="32" t="str">
        <f t="shared" ca="1" si="3"/>
        <v>2.61 Years</v>
      </c>
      <c r="N60" s="32" t="str">
        <f>VLOOKUP(J60, Lookup_Performance!$A$2:$D$6, 3, TRUE)</f>
        <v>Developing</v>
      </c>
      <c r="O60" s="34">
        <f>I60 * VLOOKUP(J60, Lookup_Performance!$A$2:$D$6, 4, TRUE)</f>
        <v>988.7</v>
      </c>
    </row>
    <row r="61" spans="1:15" x14ac:dyDescent="0.35">
      <c r="A61" s="24" t="s">
        <v>118</v>
      </c>
      <c r="B61" s="25" t="s">
        <v>9</v>
      </c>
      <c r="C61" s="25" t="s">
        <v>30</v>
      </c>
      <c r="D61" s="26" t="str">
        <f t="shared" si="2"/>
        <v>Emily Wilson</v>
      </c>
      <c r="E61" s="26" t="s">
        <v>37</v>
      </c>
      <c r="F61" s="27">
        <v>45217</v>
      </c>
      <c r="G61" s="27" t="str">
        <f>VLOOKUP(E61, Lookup_Departments!$A$2:$B$7, 2, FALSE)</f>
        <v>Sales</v>
      </c>
      <c r="H61" s="27">
        <f t="shared" si="4"/>
        <v>45217</v>
      </c>
      <c r="I61" s="28">
        <v>110381</v>
      </c>
      <c r="J61" s="29">
        <v>93</v>
      </c>
      <c r="K61" s="25" t="s">
        <v>38</v>
      </c>
      <c r="L61" s="26" t="str">
        <f t="shared" si="5"/>
        <v>Active</v>
      </c>
      <c r="M61" s="26" t="str">
        <f t="shared" ca="1" si="3"/>
        <v>2.71 Years</v>
      </c>
      <c r="N61" s="26" t="str">
        <f>VLOOKUP(J61, Lookup_Performance!$A$2:$D$6, 3, TRUE)</f>
        <v>Exceeding</v>
      </c>
      <c r="O61" s="28">
        <f>I61 * VLOOKUP(J61, Lookup_Performance!$A$2:$D$6, 4, TRUE)</f>
        <v>8830.48</v>
      </c>
    </row>
    <row r="62" spans="1:15" x14ac:dyDescent="0.35">
      <c r="A62" s="30" t="s">
        <v>119</v>
      </c>
      <c r="B62" s="31" t="s">
        <v>36</v>
      </c>
      <c r="C62" s="31" t="s">
        <v>113</v>
      </c>
      <c r="D62" s="32" t="str">
        <f t="shared" si="2"/>
        <v>Michael Anderson</v>
      </c>
      <c r="E62" s="32" t="s">
        <v>78</v>
      </c>
      <c r="F62" s="33">
        <v>44079</v>
      </c>
      <c r="G62" s="33" t="str">
        <f>VLOOKUP(E62, Lookup_Departments!$A$2:$B$7, 2, FALSE)</f>
        <v>Human Resources</v>
      </c>
      <c r="H62" s="33">
        <f t="shared" si="4"/>
        <v>44079</v>
      </c>
      <c r="I62" s="34">
        <v>114748</v>
      </c>
      <c r="J62" s="35">
        <v>33</v>
      </c>
      <c r="K62" s="31" t="s">
        <v>38</v>
      </c>
      <c r="L62" s="32" t="str">
        <f t="shared" si="5"/>
        <v>Active</v>
      </c>
      <c r="M62" s="32" t="str">
        <f t="shared" ca="1" si="3"/>
        <v>5.83 Years</v>
      </c>
      <c r="N62" s="32" t="str">
        <f>VLOOKUP(J62, Lookup_Performance!$A$2:$D$6, 3, TRUE)</f>
        <v>Needs Improvement</v>
      </c>
      <c r="O62" s="34">
        <f>I62 * VLOOKUP(J62, Lookup_Performance!$A$2:$D$6, 4, TRUE)</f>
        <v>0</v>
      </c>
    </row>
    <row r="63" spans="1:15" x14ac:dyDescent="0.35">
      <c r="A63" s="24" t="s">
        <v>120</v>
      </c>
      <c r="B63" s="25" t="s">
        <v>47</v>
      </c>
      <c r="C63" s="25" t="s">
        <v>27</v>
      </c>
      <c r="D63" s="26" t="str">
        <f t="shared" si="2"/>
        <v>Robert Johnson</v>
      </c>
      <c r="E63" s="26" t="s">
        <v>28</v>
      </c>
      <c r="F63" s="27">
        <v>42800</v>
      </c>
      <c r="G63" s="27" t="str">
        <f>VLOOKUP(E63, Lookup_Departments!$A$2:$B$7, 2, FALSE)</f>
        <v>Operations</v>
      </c>
      <c r="H63" s="27">
        <f t="shared" si="4"/>
        <v>42800</v>
      </c>
      <c r="I63" s="28">
        <v>63302</v>
      </c>
      <c r="J63" s="29">
        <v>91</v>
      </c>
      <c r="K63" s="25" t="s">
        <v>38</v>
      </c>
      <c r="L63" s="26" t="str">
        <f t="shared" si="5"/>
        <v>Active</v>
      </c>
      <c r="M63" s="26" t="str">
        <f t="shared" ca="1" si="3"/>
        <v>9.33 Years</v>
      </c>
      <c r="N63" s="26" t="str">
        <f>VLOOKUP(J63, Lookup_Performance!$A$2:$D$6, 3, TRUE)</f>
        <v>Exceeding</v>
      </c>
      <c r="O63" s="28">
        <f>I63 * VLOOKUP(J63, Lookup_Performance!$A$2:$D$6, 4, TRUE)</f>
        <v>5064.16</v>
      </c>
    </row>
    <row r="64" spans="1:15" x14ac:dyDescent="0.35">
      <c r="A64" s="30" t="s">
        <v>121</v>
      </c>
      <c r="B64" s="31" t="s">
        <v>47</v>
      </c>
      <c r="C64" s="31" t="s">
        <v>40</v>
      </c>
      <c r="D64" s="32" t="str">
        <f t="shared" si="2"/>
        <v>Robert Miller</v>
      </c>
      <c r="E64" s="32" t="s">
        <v>11</v>
      </c>
      <c r="F64" s="33">
        <v>42122</v>
      </c>
      <c r="G64" s="33" t="str">
        <f>VLOOKUP(E64, Lookup_Departments!$A$2:$B$7, 2, FALSE)</f>
        <v>Information Technology</v>
      </c>
      <c r="H64" s="33">
        <f t="shared" si="4"/>
        <v>42122</v>
      </c>
      <c r="I64" s="34">
        <v>75519</v>
      </c>
      <c r="J64" s="35">
        <v>64</v>
      </c>
      <c r="K64" s="31" t="s">
        <v>38</v>
      </c>
      <c r="L64" s="32" t="str">
        <f t="shared" si="5"/>
        <v>Active</v>
      </c>
      <c r="M64" s="32" t="str">
        <f t="shared" ca="1" si="3"/>
        <v>11.18 Years</v>
      </c>
      <c r="N64" s="32" t="str">
        <f>VLOOKUP(J64, Lookup_Performance!$A$2:$D$6, 3, TRUE)</f>
        <v>Developing</v>
      </c>
      <c r="O64" s="34">
        <f>I64 * VLOOKUP(J64, Lookup_Performance!$A$2:$D$6, 4, TRUE)</f>
        <v>1510.38</v>
      </c>
    </row>
    <row r="65" spans="1:15" x14ac:dyDescent="0.35">
      <c r="A65" s="24" t="s">
        <v>122</v>
      </c>
      <c r="B65" s="25" t="s">
        <v>43</v>
      </c>
      <c r="C65" s="25" t="s">
        <v>51</v>
      </c>
      <c r="D65" s="26" t="str">
        <f t="shared" si="2"/>
        <v>Jane Davis</v>
      </c>
      <c r="E65" s="26" t="s">
        <v>21</v>
      </c>
      <c r="F65" s="27">
        <v>42838</v>
      </c>
      <c r="G65" s="27" t="str">
        <f>VLOOKUP(E65, Lookup_Departments!$A$2:$B$7, 2, FALSE)</f>
        <v>Finance</v>
      </c>
      <c r="H65" s="27">
        <f t="shared" si="4"/>
        <v>42838</v>
      </c>
      <c r="I65" s="28">
        <v>103891</v>
      </c>
      <c r="J65" s="29">
        <v>80</v>
      </c>
      <c r="K65" s="25" t="s">
        <v>38</v>
      </c>
      <c r="L65" s="26" t="str">
        <f t="shared" si="5"/>
        <v>Active</v>
      </c>
      <c r="M65" s="26" t="str">
        <f t="shared" ca="1" si="3"/>
        <v>9.23 Years</v>
      </c>
      <c r="N65" s="26" t="str">
        <f>VLOOKUP(J65, Lookup_Performance!$A$2:$D$6, 3, TRUE)</f>
        <v>Achieving</v>
      </c>
      <c r="O65" s="28">
        <f>I65 * VLOOKUP(J65, Lookup_Performance!$A$2:$D$6, 4, TRUE)</f>
        <v>5194.55</v>
      </c>
    </row>
    <row r="66" spans="1:15" x14ac:dyDescent="0.35">
      <c r="A66" s="30" t="s">
        <v>123</v>
      </c>
      <c r="B66" s="31" t="s">
        <v>23</v>
      </c>
      <c r="C66" s="31" t="s">
        <v>51</v>
      </c>
      <c r="D66" s="32" t="str">
        <f t="shared" si="2"/>
        <v>Thomas Davis</v>
      </c>
      <c r="E66" s="32" t="s">
        <v>28</v>
      </c>
      <c r="F66" s="33">
        <v>44827</v>
      </c>
      <c r="G66" s="33" t="str">
        <f>VLOOKUP(E66, Lookup_Departments!$A$2:$B$7, 2, FALSE)</f>
        <v>Operations</v>
      </c>
      <c r="H66" s="33">
        <f t="shared" ref="H66:H97" si="6">IFERROR(DATEVALUE(F66), F66)</f>
        <v>44827</v>
      </c>
      <c r="I66" s="34">
        <v>83603.929999999993</v>
      </c>
      <c r="J66" s="35">
        <v>46</v>
      </c>
      <c r="K66" s="31" t="s">
        <v>261</v>
      </c>
      <c r="L66" s="32" t="str">
        <f t="shared" ref="L66:L97" si="7">TRIM(K66)</f>
        <v>Left</v>
      </c>
      <c r="M66" s="32" t="str">
        <f t="shared" ca="1" si="3"/>
        <v>3.78 Years</v>
      </c>
      <c r="N66" s="32" t="str">
        <f>VLOOKUP(J66, Lookup_Performance!$A$2:$D$6, 3, TRUE)</f>
        <v>Needs Improvement</v>
      </c>
      <c r="O66" s="34">
        <f>I66 * VLOOKUP(J66, Lookup_Performance!$A$2:$D$6, 4, TRUE)</f>
        <v>0</v>
      </c>
    </row>
    <row r="67" spans="1:15" x14ac:dyDescent="0.35">
      <c r="A67" s="24" t="s">
        <v>124</v>
      </c>
      <c r="B67" s="25" t="s">
        <v>23</v>
      </c>
      <c r="C67" s="25" t="s">
        <v>48</v>
      </c>
      <c r="D67" s="26" t="str">
        <f t="shared" ref="D67:D130" si="8">_xlfn.TEXTJOIN(" ", TRUE, B67, C67)</f>
        <v>Thomas Jones</v>
      </c>
      <c r="E67" s="26" t="s">
        <v>15</v>
      </c>
      <c r="F67" s="27" t="s">
        <v>125</v>
      </c>
      <c r="G67" s="27" t="str">
        <f>VLOOKUP(E67, Lookup_Departments!$A$2:$B$7, 2, FALSE)</f>
        <v>Marketing</v>
      </c>
      <c r="H67" s="27">
        <f t="shared" si="6"/>
        <v>42685</v>
      </c>
      <c r="I67" s="28">
        <v>50936</v>
      </c>
      <c r="J67" s="29">
        <v>99</v>
      </c>
      <c r="K67" s="25" t="s">
        <v>38</v>
      </c>
      <c r="L67" s="26" t="str">
        <f t="shared" si="7"/>
        <v>Active</v>
      </c>
      <c r="M67" s="26" t="str">
        <f t="shared" ref="M67:M130" ca="1" si="9">ROUNDDOWN(YEARFRAC(H67, TODAY()), 2) &amp;" " &amp; "Years"</f>
        <v>9.65 Years</v>
      </c>
      <c r="N67" s="26" t="str">
        <f>VLOOKUP(J67, Lookup_Performance!$A$2:$D$6, 3, TRUE)</f>
        <v>Outstanding</v>
      </c>
      <c r="O67" s="28">
        <f>I67 * VLOOKUP(J67, Lookup_Performance!$A$2:$D$6, 4, TRUE)</f>
        <v>6112.32</v>
      </c>
    </row>
    <row r="68" spans="1:15" x14ac:dyDescent="0.35">
      <c r="A68" s="30" t="s">
        <v>126</v>
      </c>
      <c r="B68" s="31" t="s">
        <v>36</v>
      </c>
      <c r="C68" s="31" t="s">
        <v>40</v>
      </c>
      <c r="D68" s="32" t="str">
        <f t="shared" si="8"/>
        <v>Michael Miller</v>
      </c>
      <c r="E68" s="32" t="s">
        <v>37</v>
      </c>
      <c r="F68" s="33" t="s">
        <v>127</v>
      </c>
      <c r="G68" s="33" t="str">
        <f>VLOOKUP(E68, Lookup_Departments!$A$2:$B$7, 2, FALSE)</f>
        <v>Sales</v>
      </c>
      <c r="H68" s="33">
        <f t="shared" si="6"/>
        <v>42818</v>
      </c>
      <c r="I68" s="34">
        <v>111240</v>
      </c>
      <c r="J68" s="35">
        <v>68.08</v>
      </c>
      <c r="K68" s="31" t="s">
        <v>38</v>
      </c>
      <c r="L68" s="32" t="str">
        <f t="shared" si="7"/>
        <v>Active</v>
      </c>
      <c r="M68" s="32" t="str">
        <f t="shared" ca="1" si="9"/>
        <v>9.28 Years</v>
      </c>
      <c r="N68" s="32" t="str">
        <f>VLOOKUP(J68, Lookup_Performance!$A$2:$D$6, 3, TRUE)</f>
        <v>Developing</v>
      </c>
      <c r="O68" s="34">
        <f>I68 * VLOOKUP(J68, Lookup_Performance!$A$2:$D$6, 4, TRUE)</f>
        <v>2224.8000000000002</v>
      </c>
    </row>
    <row r="69" spans="1:15" x14ac:dyDescent="0.35">
      <c r="A69" s="24" t="s">
        <v>128</v>
      </c>
      <c r="B69" s="25" t="s">
        <v>13</v>
      </c>
      <c r="C69" s="25" t="s">
        <v>17</v>
      </c>
      <c r="D69" s="26" t="str">
        <f t="shared" si="8"/>
        <v>Richard Gonzalez</v>
      </c>
      <c r="E69" s="26" t="s">
        <v>78</v>
      </c>
      <c r="F69" s="27" t="s">
        <v>129</v>
      </c>
      <c r="G69" s="27" t="str">
        <f>VLOOKUP(E69, Lookup_Departments!$A$2:$B$7, 2, FALSE)</f>
        <v>Human Resources</v>
      </c>
      <c r="H69" s="27">
        <f t="shared" si="6"/>
        <v>43590</v>
      </c>
      <c r="I69" s="28">
        <v>51567</v>
      </c>
      <c r="J69" s="29">
        <v>87</v>
      </c>
      <c r="K69" s="25" t="s">
        <v>95</v>
      </c>
      <c r="L69" s="26" t="str">
        <f t="shared" si="7"/>
        <v>Resigned</v>
      </c>
      <c r="M69" s="26" t="str">
        <f t="shared" ca="1" si="9"/>
        <v>7.16 Years</v>
      </c>
      <c r="N69" s="26" t="str">
        <f>VLOOKUP(J69, Lookup_Performance!$A$2:$D$6, 3, TRUE)</f>
        <v>Exceeding</v>
      </c>
      <c r="O69" s="28">
        <f>I69 * VLOOKUP(J69, Lookup_Performance!$A$2:$D$6, 4, TRUE)</f>
        <v>4125.3599999999997</v>
      </c>
    </row>
    <row r="70" spans="1:15" x14ac:dyDescent="0.35">
      <c r="A70" s="30" t="s">
        <v>130</v>
      </c>
      <c r="B70" s="31" t="s">
        <v>86</v>
      </c>
      <c r="C70" s="31" t="s">
        <v>44</v>
      </c>
      <c r="D70" s="32" t="str">
        <f t="shared" si="8"/>
        <v>Melissa Williams</v>
      </c>
      <c r="E70" s="32" t="s">
        <v>78</v>
      </c>
      <c r="F70" s="33">
        <v>44402</v>
      </c>
      <c r="G70" s="33" t="str">
        <f>VLOOKUP(E70, Lookup_Departments!$A$2:$B$7, 2, FALSE)</f>
        <v>Human Resources</v>
      </c>
      <c r="H70" s="33">
        <f t="shared" si="6"/>
        <v>44402</v>
      </c>
      <c r="I70" s="34">
        <v>83603.929999999993</v>
      </c>
      <c r="J70" s="35">
        <v>36</v>
      </c>
      <c r="K70" s="31" t="s">
        <v>38</v>
      </c>
      <c r="L70" s="32" t="str">
        <f t="shared" si="7"/>
        <v>Active</v>
      </c>
      <c r="M70" s="32" t="str">
        <f t="shared" ca="1" si="9"/>
        <v>4.94 Years</v>
      </c>
      <c r="N70" s="32" t="str">
        <f>VLOOKUP(J70, Lookup_Performance!$A$2:$D$6, 3, TRUE)</f>
        <v>Needs Improvement</v>
      </c>
      <c r="O70" s="34">
        <f>I70 * VLOOKUP(J70, Lookup_Performance!$A$2:$D$6, 4, TRUE)</f>
        <v>0</v>
      </c>
    </row>
    <row r="71" spans="1:15" x14ac:dyDescent="0.35">
      <c r="A71" s="24" t="s">
        <v>131</v>
      </c>
      <c r="B71" s="25" t="s">
        <v>47</v>
      </c>
      <c r="C71" s="25" t="s">
        <v>40</v>
      </c>
      <c r="D71" s="26" t="str">
        <f t="shared" si="8"/>
        <v>Robert Miller</v>
      </c>
      <c r="E71" s="26" t="s">
        <v>78</v>
      </c>
      <c r="F71" s="27">
        <v>43008</v>
      </c>
      <c r="G71" s="27" t="str">
        <f>VLOOKUP(E71, Lookup_Departments!$A$2:$B$7, 2, FALSE)</f>
        <v>Human Resources</v>
      </c>
      <c r="H71" s="27">
        <f t="shared" si="6"/>
        <v>43008</v>
      </c>
      <c r="I71" s="28">
        <v>55270</v>
      </c>
      <c r="J71" s="29">
        <v>87</v>
      </c>
      <c r="K71" s="25" t="s">
        <v>38</v>
      </c>
      <c r="L71" s="26" t="str">
        <f t="shared" si="7"/>
        <v>Active</v>
      </c>
      <c r="M71" s="26" t="str">
        <f t="shared" ca="1" si="9"/>
        <v>8.76 Years</v>
      </c>
      <c r="N71" s="26" t="str">
        <f>VLOOKUP(J71, Lookup_Performance!$A$2:$D$6, 3, TRUE)</f>
        <v>Exceeding</v>
      </c>
      <c r="O71" s="28">
        <f>I71 * VLOOKUP(J71, Lookup_Performance!$A$2:$D$6, 4, TRUE)</f>
        <v>4421.6000000000004</v>
      </c>
    </row>
    <row r="72" spans="1:15" x14ac:dyDescent="0.35">
      <c r="A72" s="30" t="s">
        <v>132</v>
      </c>
      <c r="B72" s="31" t="s">
        <v>133</v>
      </c>
      <c r="C72" s="31" t="s">
        <v>111</v>
      </c>
      <c r="D72" s="32" t="str">
        <f t="shared" si="8"/>
        <v>William Garcia</v>
      </c>
      <c r="E72" s="32" t="s">
        <v>37</v>
      </c>
      <c r="F72" s="33">
        <v>42192</v>
      </c>
      <c r="G72" s="33" t="str">
        <f>VLOOKUP(E72, Lookup_Departments!$A$2:$B$7, 2, FALSE)</f>
        <v>Sales</v>
      </c>
      <c r="H72" s="33">
        <f t="shared" si="6"/>
        <v>42192</v>
      </c>
      <c r="I72" s="34">
        <v>65235</v>
      </c>
      <c r="J72" s="35">
        <v>97</v>
      </c>
      <c r="K72" s="31" t="s">
        <v>260</v>
      </c>
      <c r="L72" s="32" t="str">
        <f t="shared" si="7"/>
        <v>Active</v>
      </c>
      <c r="M72" s="32" t="str">
        <f t="shared" ca="1" si="9"/>
        <v>10.99 Years</v>
      </c>
      <c r="N72" s="32" t="str">
        <f>VLOOKUP(J72, Lookup_Performance!$A$2:$D$6, 3, TRUE)</f>
        <v>Outstanding</v>
      </c>
      <c r="O72" s="34">
        <f>I72 * VLOOKUP(J72, Lookup_Performance!$A$2:$D$6, 4, TRUE)</f>
        <v>7828.2</v>
      </c>
    </row>
    <row r="73" spans="1:15" x14ac:dyDescent="0.35">
      <c r="A73" s="24" t="s">
        <v>134</v>
      </c>
      <c r="B73" s="25" t="s">
        <v>19</v>
      </c>
      <c r="C73" s="25" t="s">
        <v>17</v>
      </c>
      <c r="D73" s="26" t="str">
        <f t="shared" si="8"/>
        <v>John Gonzalez</v>
      </c>
      <c r="E73" s="26" t="s">
        <v>37</v>
      </c>
      <c r="F73" s="27">
        <v>43283</v>
      </c>
      <c r="G73" s="27" t="str">
        <f>VLOOKUP(E73, Lookup_Departments!$A$2:$B$7, 2, FALSE)</f>
        <v>Sales</v>
      </c>
      <c r="H73" s="27">
        <f t="shared" si="6"/>
        <v>43283</v>
      </c>
      <c r="I73" s="28">
        <v>83603.929999999993</v>
      </c>
      <c r="J73" s="29">
        <v>72</v>
      </c>
      <c r="K73" s="25" t="s">
        <v>261</v>
      </c>
      <c r="L73" s="26" t="str">
        <f t="shared" si="7"/>
        <v>Left</v>
      </c>
      <c r="M73" s="26" t="str">
        <f t="shared" ca="1" si="9"/>
        <v>8.01 Years</v>
      </c>
      <c r="N73" s="26" t="str">
        <f>VLOOKUP(J73, Lookup_Performance!$A$2:$D$6, 3, TRUE)</f>
        <v>Achieving</v>
      </c>
      <c r="O73" s="28">
        <f>I73 * VLOOKUP(J73, Lookup_Performance!$A$2:$D$6, 4, TRUE)</f>
        <v>4180.1965</v>
      </c>
    </row>
    <row r="74" spans="1:15" x14ac:dyDescent="0.35">
      <c r="A74" s="30" t="s">
        <v>135</v>
      </c>
      <c r="B74" s="31" t="s">
        <v>53</v>
      </c>
      <c r="C74" s="31" t="s">
        <v>17</v>
      </c>
      <c r="D74" s="32" t="str">
        <f t="shared" si="8"/>
        <v>James Gonzalez</v>
      </c>
      <c r="E74" s="32" t="s">
        <v>37</v>
      </c>
      <c r="F74" s="33">
        <v>44819</v>
      </c>
      <c r="G74" s="33" t="str">
        <f>VLOOKUP(E74, Lookup_Departments!$A$2:$B$7, 2, FALSE)</f>
        <v>Sales</v>
      </c>
      <c r="H74" s="33">
        <f t="shared" si="6"/>
        <v>44819</v>
      </c>
      <c r="I74" s="34">
        <v>83603.929999999993</v>
      </c>
      <c r="J74" s="35">
        <v>65</v>
      </c>
      <c r="K74" s="31" t="s">
        <v>261</v>
      </c>
      <c r="L74" s="32" t="str">
        <f t="shared" si="7"/>
        <v>Left</v>
      </c>
      <c r="M74" s="32" t="str">
        <f t="shared" ca="1" si="9"/>
        <v>3.8 Years</v>
      </c>
      <c r="N74" s="32" t="str">
        <f>VLOOKUP(J74, Lookup_Performance!$A$2:$D$6, 3, TRUE)</f>
        <v>Developing</v>
      </c>
      <c r="O74" s="34">
        <f>I74 * VLOOKUP(J74, Lookup_Performance!$A$2:$D$6, 4, TRUE)</f>
        <v>1672.0785999999998</v>
      </c>
    </row>
    <row r="75" spans="1:15" x14ac:dyDescent="0.35">
      <c r="A75" s="24" t="s">
        <v>136</v>
      </c>
      <c r="B75" s="25" t="s">
        <v>43</v>
      </c>
      <c r="C75" s="25" t="s">
        <v>17</v>
      </c>
      <c r="D75" s="26" t="str">
        <f t="shared" si="8"/>
        <v>Jane Gonzalez</v>
      </c>
      <c r="E75" s="26" t="s">
        <v>37</v>
      </c>
      <c r="F75" s="27">
        <v>42249</v>
      </c>
      <c r="G75" s="27" t="str">
        <f>VLOOKUP(E75, Lookup_Departments!$A$2:$B$7, 2, FALSE)</f>
        <v>Sales</v>
      </c>
      <c r="H75" s="27">
        <f t="shared" si="6"/>
        <v>42249</v>
      </c>
      <c r="I75" s="28">
        <v>83603.929999999993</v>
      </c>
      <c r="J75" s="29">
        <v>67</v>
      </c>
      <c r="K75" s="25" t="s">
        <v>38</v>
      </c>
      <c r="L75" s="26" t="str">
        <f t="shared" si="7"/>
        <v>Active</v>
      </c>
      <c r="M75" s="26" t="str">
        <f t="shared" ca="1" si="9"/>
        <v>10.84 Years</v>
      </c>
      <c r="N75" s="26" t="str">
        <f>VLOOKUP(J75, Lookup_Performance!$A$2:$D$6, 3, TRUE)</f>
        <v>Developing</v>
      </c>
      <c r="O75" s="28">
        <f>I75 * VLOOKUP(J75, Lookup_Performance!$A$2:$D$6, 4, TRUE)</f>
        <v>1672.0785999999998</v>
      </c>
    </row>
    <row r="76" spans="1:15" x14ac:dyDescent="0.35">
      <c r="A76" s="30" t="s">
        <v>137</v>
      </c>
      <c r="B76" s="31" t="s">
        <v>93</v>
      </c>
      <c r="C76" s="31" t="s">
        <v>30</v>
      </c>
      <c r="D76" s="32" t="str">
        <f t="shared" si="8"/>
        <v>David Wilson</v>
      </c>
      <c r="E76" s="32" t="s">
        <v>28</v>
      </c>
      <c r="F76" s="33" t="s">
        <v>138</v>
      </c>
      <c r="G76" s="33" t="str">
        <f>VLOOKUP(E76, Lookup_Departments!$A$2:$B$7, 2, FALSE)</f>
        <v>Operations</v>
      </c>
      <c r="H76" s="33">
        <f t="shared" si="6"/>
        <v>42654</v>
      </c>
      <c r="I76" s="34">
        <v>48823</v>
      </c>
      <c r="J76" s="35">
        <v>34</v>
      </c>
      <c r="K76" s="31" t="s">
        <v>260</v>
      </c>
      <c r="L76" s="32" t="str">
        <f t="shared" si="7"/>
        <v>Active</v>
      </c>
      <c r="M76" s="32" t="str">
        <f t="shared" ca="1" si="9"/>
        <v>9.73 Years</v>
      </c>
      <c r="N76" s="32" t="str">
        <f>VLOOKUP(J76, Lookup_Performance!$A$2:$D$6, 3, TRUE)</f>
        <v>Needs Improvement</v>
      </c>
      <c r="O76" s="34">
        <f>I76 * VLOOKUP(J76, Lookup_Performance!$A$2:$D$6, 4, TRUE)</f>
        <v>0</v>
      </c>
    </row>
    <row r="77" spans="1:15" x14ac:dyDescent="0.35">
      <c r="A77" s="24" t="s">
        <v>139</v>
      </c>
      <c r="B77" s="25" t="s">
        <v>43</v>
      </c>
      <c r="C77" s="25" t="s">
        <v>17</v>
      </c>
      <c r="D77" s="26" t="str">
        <f t="shared" si="8"/>
        <v>Jane Gonzalez</v>
      </c>
      <c r="E77" s="26" t="s">
        <v>21</v>
      </c>
      <c r="F77" s="27">
        <v>43575</v>
      </c>
      <c r="G77" s="27" t="str">
        <f>VLOOKUP(E77, Lookup_Departments!$A$2:$B$7, 2, FALSE)</f>
        <v>Finance</v>
      </c>
      <c r="H77" s="27">
        <f t="shared" si="6"/>
        <v>43575</v>
      </c>
      <c r="I77" s="28">
        <v>45196</v>
      </c>
      <c r="J77" s="29">
        <v>78</v>
      </c>
      <c r="K77" s="25" t="s">
        <v>261</v>
      </c>
      <c r="L77" s="26" t="str">
        <f t="shared" si="7"/>
        <v>Left</v>
      </c>
      <c r="M77" s="26" t="str">
        <f t="shared" ca="1" si="9"/>
        <v>7.21 Years</v>
      </c>
      <c r="N77" s="26" t="str">
        <f>VLOOKUP(J77, Lookup_Performance!$A$2:$D$6, 3, TRUE)</f>
        <v>Achieving</v>
      </c>
      <c r="O77" s="28">
        <f>I77 * VLOOKUP(J77, Lookup_Performance!$A$2:$D$6, 4, TRUE)</f>
        <v>2259.8000000000002</v>
      </c>
    </row>
    <row r="78" spans="1:15" x14ac:dyDescent="0.35">
      <c r="A78" s="30" t="s">
        <v>140</v>
      </c>
      <c r="B78" s="31" t="s">
        <v>43</v>
      </c>
      <c r="C78" s="31" t="s">
        <v>34</v>
      </c>
      <c r="D78" s="32" t="str">
        <f t="shared" si="8"/>
        <v>Jane Rodriguez</v>
      </c>
      <c r="E78" s="32" t="s">
        <v>11</v>
      </c>
      <c r="F78" s="33" t="s">
        <v>141</v>
      </c>
      <c r="G78" s="33" t="str">
        <f>VLOOKUP(E78, Lookup_Departments!$A$2:$B$7, 2, FALSE)</f>
        <v>Information Technology</v>
      </c>
      <c r="H78" s="33">
        <f t="shared" si="6"/>
        <v>42785</v>
      </c>
      <c r="I78" s="34">
        <v>86246</v>
      </c>
      <c r="J78" s="35">
        <v>61</v>
      </c>
      <c r="K78" s="31" t="s">
        <v>38</v>
      </c>
      <c r="L78" s="32" t="str">
        <f t="shared" si="7"/>
        <v>Active</v>
      </c>
      <c r="M78" s="32" t="str">
        <f t="shared" ca="1" si="9"/>
        <v>9.38 Years</v>
      </c>
      <c r="N78" s="32" t="str">
        <f>VLOOKUP(J78, Lookup_Performance!$A$2:$D$6, 3, TRUE)</f>
        <v>Developing</v>
      </c>
      <c r="O78" s="34">
        <f>I78 * VLOOKUP(J78, Lookup_Performance!$A$2:$D$6, 4, TRUE)</f>
        <v>1724.92</v>
      </c>
    </row>
    <row r="79" spans="1:15" x14ac:dyDescent="0.35">
      <c r="A79" s="24" t="s">
        <v>142</v>
      </c>
      <c r="B79" s="25" t="s">
        <v>9</v>
      </c>
      <c r="C79" s="25" t="s">
        <v>40</v>
      </c>
      <c r="D79" s="26" t="str">
        <f t="shared" si="8"/>
        <v>Emily Miller</v>
      </c>
      <c r="E79" s="26" t="s">
        <v>37</v>
      </c>
      <c r="F79" s="27" t="s">
        <v>143</v>
      </c>
      <c r="G79" s="27" t="str">
        <f>VLOOKUP(E79, Lookup_Departments!$A$2:$B$7, 2, FALSE)</f>
        <v>Sales</v>
      </c>
      <c r="H79" s="27">
        <f t="shared" si="6"/>
        <v>44446</v>
      </c>
      <c r="I79" s="28">
        <v>70359</v>
      </c>
      <c r="J79" s="29">
        <v>74</v>
      </c>
      <c r="K79" s="25" t="s">
        <v>25</v>
      </c>
      <c r="L79" s="26" t="str">
        <f t="shared" si="7"/>
        <v>Left</v>
      </c>
      <c r="M79" s="26" t="str">
        <f t="shared" ca="1" si="9"/>
        <v>4.83 Years</v>
      </c>
      <c r="N79" s="26" t="str">
        <f>VLOOKUP(J79, Lookup_Performance!$A$2:$D$6, 3, TRUE)</f>
        <v>Achieving</v>
      </c>
      <c r="O79" s="28">
        <f>I79 * VLOOKUP(J79, Lookup_Performance!$A$2:$D$6, 4, TRUE)</f>
        <v>3517.9500000000003</v>
      </c>
    </row>
    <row r="80" spans="1:15" x14ac:dyDescent="0.35">
      <c r="A80" s="30" t="s">
        <v>144</v>
      </c>
      <c r="B80" s="31" t="s">
        <v>75</v>
      </c>
      <c r="C80" s="31" t="s">
        <v>40</v>
      </c>
      <c r="D80" s="32" t="str">
        <f t="shared" si="8"/>
        <v>Sarah Miller</v>
      </c>
      <c r="E80" s="32" t="s">
        <v>15</v>
      </c>
      <c r="F80" s="33">
        <v>43599</v>
      </c>
      <c r="G80" s="33" t="str">
        <f>VLOOKUP(E80, Lookup_Departments!$A$2:$B$7, 2, FALSE)</f>
        <v>Marketing</v>
      </c>
      <c r="H80" s="33">
        <f t="shared" si="6"/>
        <v>43599</v>
      </c>
      <c r="I80" s="34">
        <v>83603.929999999993</v>
      </c>
      <c r="J80" s="35">
        <v>94</v>
      </c>
      <c r="K80" s="31" t="s">
        <v>260</v>
      </c>
      <c r="L80" s="32" t="str">
        <f t="shared" si="7"/>
        <v>Active</v>
      </c>
      <c r="M80" s="32" t="str">
        <f t="shared" ca="1" si="9"/>
        <v>7.14 Years</v>
      </c>
      <c r="N80" s="32" t="str">
        <f>VLOOKUP(J80, Lookup_Performance!$A$2:$D$6, 3, TRUE)</f>
        <v>Exceeding</v>
      </c>
      <c r="O80" s="34">
        <f>I80 * VLOOKUP(J80, Lookup_Performance!$A$2:$D$6, 4, TRUE)</f>
        <v>6688.3143999999993</v>
      </c>
    </row>
    <row r="81" spans="1:15" x14ac:dyDescent="0.35">
      <c r="A81" s="24" t="s">
        <v>145</v>
      </c>
      <c r="B81" s="25" t="s">
        <v>32</v>
      </c>
      <c r="C81" s="25" t="s">
        <v>111</v>
      </c>
      <c r="D81" s="26" t="str">
        <f t="shared" si="8"/>
        <v>Jessica Garcia</v>
      </c>
      <c r="E81" s="26" t="s">
        <v>28</v>
      </c>
      <c r="F81" s="27">
        <v>42330</v>
      </c>
      <c r="G81" s="27" t="str">
        <f>VLOOKUP(E81, Lookup_Departments!$A$2:$B$7, 2, FALSE)</f>
        <v>Operations</v>
      </c>
      <c r="H81" s="27">
        <f t="shared" si="6"/>
        <v>42330</v>
      </c>
      <c r="I81" s="28">
        <v>86480</v>
      </c>
      <c r="J81" s="29">
        <v>68.08</v>
      </c>
      <c r="K81" s="25" t="s">
        <v>260</v>
      </c>
      <c r="L81" s="26" t="str">
        <f t="shared" si="7"/>
        <v>Active</v>
      </c>
      <c r="M81" s="26" t="str">
        <f t="shared" ca="1" si="9"/>
        <v>10.62 Years</v>
      </c>
      <c r="N81" s="26" t="str">
        <f>VLOOKUP(J81, Lookup_Performance!$A$2:$D$6, 3, TRUE)</f>
        <v>Developing</v>
      </c>
      <c r="O81" s="28">
        <f>I81 * VLOOKUP(J81, Lookup_Performance!$A$2:$D$6, 4, TRUE)</f>
        <v>1729.6000000000001</v>
      </c>
    </row>
    <row r="82" spans="1:15" x14ac:dyDescent="0.35">
      <c r="A82" s="30" t="s">
        <v>146</v>
      </c>
      <c r="B82" s="31" t="s">
        <v>13</v>
      </c>
      <c r="C82" s="31" t="s">
        <v>24</v>
      </c>
      <c r="D82" s="32" t="str">
        <f t="shared" si="8"/>
        <v>Richard Smith</v>
      </c>
      <c r="E82" s="32" t="s">
        <v>78</v>
      </c>
      <c r="F82" s="33" t="s">
        <v>147</v>
      </c>
      <c r="G82" s="33" t="str">
        <f>VLOOKUP(E82, Lookup_Departments!$A$2:$B$7, 2, FALSE)</f>
        <v>Human Resources</v>
      </c>
      <c r="H82" s="33">
        <f t="shared" si="6"/>
        <v>43372</v>
      </c>
      <c r="I82" s="34">
        <v>47694</v>
      </c>
      <c r="J82" s="35">
        <v>75</v>
      </c>
      <c r="K82" s="31" t="s">
        <v>260</v>
      </c>
      <c r="L82" s="32" t="str">
        <f t="shared" si="7"/>
        <v>Active</v>
      </c>
      <c r="M82" s="32" t="str">
        <f t="shared" ca="1" si="9"/>
        <v>7.76 Years</v>
      </c>
      <c r="N82" s="32" t="str">
        <f>VLOOKUP(J82, Lookup_Performance!$A$2:$D$6, 3, TRUE)</f>
        <v>Achieving</v>
      </c>
      <c r="O82" s="34">
        <f>I82 * VLOOKUP(J82, Lookup_Performance!$A$2:$D$6, 4, TRUE)</f>
        <v>2384.7000000000003</v>
      </c>
    </row>
    <row r="83" spans="1:15" x14ac:dyDescent="0.35">
      <c r="A83" s="24" t="s">
        <v>148</v>
      </c>
      <c r="B83" s="25" t="s">
        <v>86</v>
      </c>
      <c r="C83" s="25" t="s">
        <v>30</v>
      </c>
      <c r="D83" s="26" t="str">
        <f t="shared" si="8"/>
        <v>Melissa Wilson</v>
      </c>
      <c r="E83" s="26" t="s">
        <v>11</v>
      </c>
      <c r="F83" s="27">
        <v>45171</v>
      </c>
      <c r="G83" s="27" t="str">
        <f>VLOOKUP(E83, Lookup_Departments!$A$2:$B$7, 2, FALSE)</f>
        <v>Information Technology</v>
      </c>
      <c r="H83" s="27">
        <f t="shared" si="6"/>
        <v>45171</v>
      </c>
      <c r="I83" s="28">
        <v>83724</v>
      </c>
      <c r="J83" s="29">
        <v>81</v>
      </c>
      <c r="K83" s="25" t="s">
        <v>95</v>
      </c>
      <c r="L83" s="26" t="str">
        <f t="shared" si="7"/>
        <v>Resigned</v>
      </c>
      <c r="M83" s="26" t="str">
        <f t="shared" ca="1" si="9"/>
        <v>2.84 Years</v>
      </c>
      <c r="N83" s="26" t="str">
        <f>VLOOKUP(J83, Lookup_Performance!$A$2:$D$6, 3, TRUE)</f>
        <v>Achieving</v>
      </c>
      <c r="O83" s="28">
        <f>I83 * VLOOKUP(J83, Lookup_Performance!$A$2:$D$6, 4, TRUE)</f>
        <v>4186.2</v>
      </c>
    </row>
    <row r="84" spans="1:15" x14ac:dyDescent="0.35">
      <c r="A84" s="30" t="s">
        <v>149</v>
      </c>
      <c r="B84" s="31" t="s">
        <v>23</v>
      </c>
      <c r="C84" s="31" t="s">
        <v>44</v>
      </c>
      <c r="D84" s="32" t="str">
        <f t="shared" si="8"/>
        <v>Thomas Williams</v>
      </c>
      <c r="E84" s="32" t="s">
        <v>21</v>
      </c>
      <c r="F84" s="33">
        <v>44759</v>
      </c>
      <c r="G84" s="33" t="str">
        <f>VLOOKUP(E84, Lookup_Departments!$A$2:$B$7, 2, FALSE)</f>
        <v>Finance</v>
      </c>
      <c r="H84" s="33">
        <f t="shared" si="6"/>
        <v>44759</v>
      </c>
      <c r="I84" s="34">
        <v>98299</v>
      </c>
      <c r="J84" s="35">
        <v>61</v>
      </c>
      <c r="K84" s="31" t="s">
        <v>38</v>
      </c>
      <c r="L84" s="32" t="str">
        <f t="shared" si="7"/>
        <v>Active</v>
      </c>
      <c r="M84" s="32" t="str">
        <f t="shared" ca="1" si="9"/>
        <v>3.96 Years</v>
      </c>
      <c r="N84" s="32" t="str">
        <f>VLOOKUP(J84, Lookup_Performance!$A$2:$D$6, 3, TRUE)</f>
        <v>Developing</v>
      </c>
      <c r="O84" s="34">
        <f>I84 * VLOOKUP(J84, Lookup_Performance!$A$2:$D$6, 4, TRUE)</f>
        <v>1965.98</v>
      </c>
    </row>
    <row r="85" spans="1:15" x14ac:dyDescent="0.35">
      <c r="A85" s="24" t="s">
        <v>150</v>
      </c>
      <c r="B85" s="25" t="s">
        <v>93</v>
      </c>
      <c r="C85" s="25" t="s">
        <v>44</v>
      </c>
      <c r="D85" s="26" t="str">
        <f t="shared" si="8"/>
        <v>David Williams</v>
      </c>
      <c r="E85" s="26" t="s">
        <v>21</v>
      </c>
      <c r="F85" s="27" t="s">
        <v>151</v>
      </c>
      <c r="G85" s="27" t="str">
        <f>VLOOKUP(E85, Lookup_Departments!$A$2:$B$7, 2, FALSE)</f>
        <v>Finance</v>
      </c>
      <c r="H85" s="27">
        <f t="shared" si="6"/>
        <v>44234</v>
      </c>
      <c r="I85" s="28">
        <v>83603.929999999993</v>
      </c>
      <c r="J85" s="29">
        <v>68</v>
      </c>
      <c r="K85" s="25" t="s">
        <v>38</v>
      </c>
      <c r="L85" s="26" t="str">
        <f t="shared" si="7"/>
        <v>Active</v>
      </c>
      <c r="M85" s="26" t="str">
        <f t="shared" ca="1" si="9"/>
        <v>5.41 Years</v>
      </c>
      <c r="N85" s="26" t="str">
        <f>VLOOKUP(J85, Lookup_Performance!$A$2:$D$6, 3, TRUE)</f>
        <v>Developing</v>
      </c>
      <c r="O85" s="28">
        <f>I85 * VLOOKUP(J85, Lookup_Performance!$A$2:$D$6, 4, TRUE)</f>
        <v>1672.0785999999998</v>
      </c>
    </row>
    <row r="86" spans="1:15" x14ac:dyDescent="0.35">
      <c r="A86" s="30" t="s">
        <v>152</v>
      </c>
      <c r="B86" s="31" t="s">
        <v>19</v>
      </c>
      <c r="C86" s="31" t="s">
        <v>27</v>
      </c>
      <c r="D86" s="32" t="str">
        <f t="shared" si="8"/>
        <v>John Johnson</v>
      </c>
      <c r="E86" s="32" t="s">
        <v>11</v>
      </c>
      <c r="F86" s="33" t="s">
        <v>153</v>
      </c>
      <c r="G86" s="33" t="str">
        <f>VLOOKUP(E86, Lookup_Departments!$A$2:$B$7, 2, FALSE)</f>
        <v>Information Technology</v>
      </c>
      <c r="H86" s="33">
        <f t="shared" si="6"/>
        <v>45203</v>
      </c>
      <c r="I86" s="34">
        <v>52287</v>
      </c>
      <c r="J86" s="35">
        <v>70</v>
      </c>
      <c r="K86" s="31" t="s">
        <v>38</v>
      </c>
      <c r="L86" s="32" t="str">
        <f t="shared" si="7"/>
        <v>Active</v>
      </c>
      <c r="M86" s="32" t="str">
        <f t="shared" ca="1" si="9"/>
        <v>2.75 Years</v>
      </c>
      <c r="N86" s="32" t="str">
        <f>VLOOKUP(J86, Lookup_Performance!$A$2:$D$6, 3, TRUE)</f>
        <v>Achieving</v>
      </c>
      <c r="O86" s="34">
        <f>I86 * VLOOKUP(J86, Lookup_Performance!$A$2:$D$6, 4, TRUE)</f>
        <v>2614.3500000000004</v>
      </c>
    </row>
    <row r="87" spans="1:15" x14ac:dyDescent="0.35">
      <c r="A87" s="24" t="s">
        <v>154</v>
      </c>
      <c r="B87" s="25" t="s">
        <v>13</v>
      </c>
      <c r="C87" s="25" t="s">
        <v>17</v>
      </c>
      <c r="D87" s="26" t="str">
        <f t="shared" si="8"/>
        <v>Richard Gonzalez</v>
      </c>
      <c r="E87" s="26" t="s">
        <v>11</v>
      </c>
      <c r="F87" s="27">
        <v>44073</v>
      </c>
      <c r="G87" s="27" t="str">
        <f>VLOOKUP(E87, Lookup_Departments!$A$2:$B$7, 2, FALSE)</f>
        <v>Information Technology</v>
      </c>
      <c r="H87" s="27">
        <f t="shared" si="6"/>
        <v>44073</v>
      </c>
      <c r="I87" s="28">
        <v>82633</v>
      </c>
      <c r="J87" s="29">
        <v>98</v>
      </c>
      <c r="K87" s="25" t="s">
        <v>260</v>
      </c>
      <c r="L87" s="26" t="str">
        <f t="shared" si="7"/>
        <v>Active</v>
      </c>
      <c r="M87" s="26" t="str">
        <f t="shared" ca="1" si="9"/>
        <v>5.85 Years</v>
      </c>
      <c r="N87" s="26" t="str">
        <f>VLOOKUP(J87, Lookup_Performance!$A$2:$D$6, 3, TRUE)</f>
        <v>Outstanding</v>
      </c>
      <c r="O87" s="28">
        <f>I87 * VLOOKUP(J87, Lookup_Performance!$A$2:$D$6, 4, TRUE)</f>
        <v>9915.9599999999991</v>
      </c>
    </row>
    <row r="88" spans="1:15" x14ac:dyDescent="0.35">
      <c r="A88" s="30" t="s">
        <v>155</v>
      </c>
      <c r="B88" s="31" t="s">
        <v>86</v>
      </c>
      <c r="C88" s="31" t="s">
        <v>113</v>
      </c>
      <c r="D88" s="32" t="str">
        <f t="shared" si="8"/>
        <v>Melissa Anderson</v>
      </c>
      <c r="E88" s="32" t="s">
        <v>28</v>
      </c>
      <c r="F88" s="33">
        <v>44422</v>
      </c>
      <c r="G88" s="33" t="str">
        <f>VLOOKUP(E88, Lookup_Departments!$A$2:$B$7, 2, FALSE)</f>
        <v>Operations</v>
      </c>
      <c r="H88" s="33">
        <f t="shared" si="6"/>
        <v>44422</v>
      </c>
      <c r="I88" s="34">
        <v>46508</v>
      </c>
      <c r="J88" s="35">
        <v>34</v>
      </c>
      <c r="K88" s="31" t="s">
        <v>38</v>
      </c>
      <c r="L88" s="32" t="str">
        <f t="shared" si="7"/>
        <v>Active</v>
      </c>
      <c r="M88" s="32" t="str">
        <f t="shared" ca="1" si="9"/>
        <v>4.89 Years</v>
      </c>
      <c r="N88" s="32" t="str">
        <f>VLOOKUP(J88, Lookup_Performance!$A$2:$D$6, 3, TRUE)</f>
        <v>Needs Improvement</v>
      </c>
      <c r="O88" s="34">
        <f>I88 * VLOOKUP(J88, Lookup_Performance!$A$2:$D$6, 4, TRUE)</f>
        <v>0</v>
      </c>
    </row>
    <row r="89" spans="1:15" x14ac:dyDescent="0.35">
      <c r="A89" s="24" t="s">
        <v>156</v>
      </c>
      <c r="B89" s="25" t="s">
        <v>9</v>
      </c>
      <c r="C89" s="25" t="s">
        <v>17</v>
      </c>
      <c r="D89" s="26" t="str">
        <f t="shared" si="8"/>
        <v>Emily Gonzalez</v>
      </c>
      <c r="E89" s="26" t="s">
        <v>78</v>
      </c>
      <c r="F89" s="27" t="s">
        <v>157</v>
      </c>
      <c r="G89" s="27" t="str">
        <f>VLOOKUP(E89, Lookup_Departments!$A$2:$B$7, 2, FALSE)</f>
        <v>Human Resources</v>
      </c>
      <c r="H89" s="27">
        <f t="shared" si="6"/>
        <v>43796</v>
      </c>
      <c r="I89" s="28">
        <v>86232</v>
      </c>
      <c r="J89" s="29">
        <v>93</v>
      </c>
      <c r="K89" s="25" t="s">
        <v>38</v>
      </c>
      <c r="L89" s="26" t="str">
        <f t="shared" si="7"/>
        <v>Active</v>
      </c>
      <c r="M89" s="26" t="str">
        <f t="shared" ca="1" si="9"/>
        <v>6.6 Years</v>
      </c>
      <c r="N89" s="26" t="str">
        <f>VLOOKUP(J89, Lookup_Performance!$A$2:$D$6, 3, TRUE)</f>
        <v>Exceeding</v>
      </c>
      <c r="O89" s="28">
        <f>I89 * VLOOKUP(J89, Lookup_Performance!$A$2:$D$6, 4, TRUE)</f>
        <v>6898.56</v>
      </c>
    </row>
    <row r="90" spans="1:15" x14ac:dyDescent="0.35">
      <c r="A90" s="30" t="s">
        <v>158</v>
      </c>
      <c r="B90" s="31" t="s">
        <v>43</v>
      </c>
      <c r="C90" s="31" t="s">
        <v>51</v>
      </c>
      <c r="D90" s="32" t="str">
        <f t="shared" si="8"/>
        <v>Jane Davis</v>
      </c>
      <c r="E90" s="32" t="s">
        <v>11</v>
      </c>
      <c r="F90" s="33" t="s">
        <v>159</v>
      </c>
      <c r="G90" s="33" t="str">
        <f>VLOOKUP(E90, Lookup_Departments!$A$2:$B$7, 2, FALSE)</f>
        <v>Information Technology</v>
      </c>
      <c r="H90" s="33">
        <f t="shared" si="6"/>
        <v>42880</v>
      </c>
      <c r="I90" s="34">
        <v>77545</v>
      </c>
      <c r="J90" s="35">
        <v>48</v>
      </c>
      <c r="K90" s="31" t="s">
        <v>38</v>
      </c>
      <c r="L90" s="32" t="str">
        <f t="shared" si="7"/>
        <v>Active</v>
      </c>
      <c r="M90" s="32" t="str">
        <f t="shared" ca="1" si="9"/>
        <v>9.11 Years</v>
      </c>
      <c r="N90" s="32" t="str">
        <f>VLOOKUP(J90, Lookup_Performance!$A$2:$D$6, 3, TRUE)</f>
        <v>Needs Improvement</v>
      </c>
      <c r="O90" s="34">
        <f>I90 * VLOOKUP(J90, Lookup_Performance!$A$2:$D$6, 4, TRUE)</f>
        <v>0</v>
      </c>
    </row>
    <row r="91" spans="1:15" x14ac:dyDescent="0.35">
      <c r="A91" s="24" t="s">
        <v>160</v>
      </c>
      <c r="B91" s="25" t="s">
        <v>133</v>
      </c>
      <c r="C91" s="25" t="s">
        <v>17</v>
      </c>
      <c r="D91" s="26" t="str">
        <f t="shared" si="8"/>
        <v>William Gonzalez</v>
      </c>
      <c r="E91" s="26" t="s">
        <v>28</v>
      </c>
      <c r="F91" s="27">
        <v>43436</v>
      </c>
      <c r="G91" s="27" t="str">
        <f>VLOOKUP(E91, Lookup_Departments!$A$2:$B$7, 2, FALSE)</f>
        <v>Operations</v>
      </c>
      <c r="H91" s="27">
        <f t="shared" si="6"/>
        <v>43436</v>
      </c>
      <c r="I91" s="28">
        <v>68683</v>
      </c>
      <c r="J91" s="29">
        <v>90</v>
      </c>
      <c r="K91" s="25" t="s">
        <v>38</v>
      </c>
      <c r="L91" s="26" t="str">
        <f t="shared" si="7"/>
        <v>Active</v>
      </c>
      <c r="M91" s="26" t="str">
        <f t="shared" ca="1" si="9"/>
        <v>7.59 Years</v>
      </c>
      <c r="N91" s="26" t="str">
        <f>VLOOKUP(J91, Lookup_Performance!$A$2:$D$6, 3, TRUE)</f>
        <v>Exceeding</v>
      </c>
      <c r="O91" s="28">
        <f>I91 * VLOOKUP(J91, Lookup_Performance!$A$2:$D$6, 4, TRUE)</f>
        <v>5494.64</v>
      </c>
    </row>
    <row r="92" spans="1:15" x14ac:dyDescent="0.35">
      <c r="A92" s="30" t="s">
        <v>161</v>
      </c>
      <c r="B92" s="31" t="s">
        <v>23</v>
      </c>
      <c r="C92" s="31" t="s">
        <v>48</v>
      </c>
      <c r="D92" s="32" t="str">
        <f t="shared" si="8"/>
        <v>Thomas Jones</v>
      </c>
      <c r="E92" s="32" t="s">
        <v>21</v>
      </c>
      <c r="F92" s="33">
        <v>43639</v>
      </c>
      <c r="G92" s="33" t="str">
        <f>VLOOKUP(E92, Lookup_Departments!$A$2:$B$7, 2, FALSE)</f>
        <v>Finance</v>
      </c>
      <c r="H92" s="33">
        <f t="shared" si="6"/>
        <v>43639</v>
      </c>
      <c r="I92" s="34">
        <v>83932</v>
      </c>
      <c r="J92" s="35">
        <v>57</v>
      </c>
      <c r="K92" s="31" t="s">
        <v>261</v>
      </c>
      <c r="L92" s="32" t="str">
        <f t="shared" si="7"/>
        <v>Left</v>
      </c>
      <c r="M92" s="32" t="str">
        <f t="shared" ca="1" si="9"/>
        <v>7.03 Years</v>
      </c>
      <c r="N92" s="32" t="str">
        <f>VLOOKUP(J92, Lookup_Performance!$A$2:$D$6, 3, TRUE)</f>
        <v>Developing</v>
      </c>
      <c r="O92" s="34">
        <f>I92 * VLOOKUP(J92, Lookup_Performance!$A$2:$D$6, 4, TRUE)</f>
        <v>1678.64</v>
      </c>
    </row>
    <row r="93" spans="1:15" x14ac:dyDescent="0.35">
      <c r="A93" s="24" t="s">
        <v>162</v>
      </c>
      <c r="B93" s="25" t="s">
        <v>32</v>
      </c>
      <c r="C93" s="25" t="s">
        <v>113</v>
      </c>
      <c r="D93" s="26" t="str">
        <f t="shared" si="8"/>
        <v>Jessica Anderson</v>
      </c>
      <c r="E93" s="26" t="s">
        <v>78</v>
      </c>
      <c r="F93" s="27">
        <v>42304</v>
      </c>
      <c r="G93" s="27" t="str">
        <f>VLOOKUP(E93, Lookup_Departments!$A$2:$B$7, 2, FALSE)</f>
        <v>Human Resources</v>
      </c>
      <c r="H93" s="27">
        <f t="shared" si="6"/>
        <v>42304</v>
      </c>
      <c r="I93" s="28">
        <v>56073</v>
      </c>
      <c r="J93" s="29">
        <v>79</v>
      </c>
      <c r="K93" s="25" t="s">
        <v>38</v>
      </c>
      <c r="L93" s="26" t="str">
        <f t="shared" si="7"/>
        <v>Active</v>
      </c>
      <c r="M93" s="26" t="str">
        <f t="shared" ca="1" si="9"/>
        <v>10.69 Years</v>
      </c>
      <c r="N93" s="26" t="str">
        <f>VLOOKUP(J93, Lookup_Performance!$A$2:$D$6, 3, TRUE)</f>
        <v>Achieving</v>
      </c>
      <c r="O93" s="28">
        <f>I93 * VLOOKUP(J93, Lookup_Performance!$A$2:$D$6, 4, TRUE)</f>
        <v>2803.65</v>
      </c>
    </row>
    <row r="94" spans="1:15" x14ac:dyDescent="0.35">
      <c r="A94" s="30" t="s">
        <v>163</v>
      </c>
      <c r="B94" s="31" t="s">
        <v>86</v>
      </c>
      <c r="C94" s="31" t="s">
        <v>27</v>
      </c>
      <c r="D94" s="32" t="str">
        <f t="shared" si="8"/>
        <v>Melissa Johnson</v>
      </c>
      <c r="E94" s="32" t="s">
        <v>11</v>
      </c>
      <c r="F94" s="33">
        <v>43270</v>
      </c>
      <c r="G94" s="33" t="str">
        <f>VLOOKUP(E94, Lookup_Departments!$A$2:$B$7, 2, FALSE)</f>
        <v>Information Technology</v>
      </c>
      <c r="H94" s="33">
        <f t="shared" si="6"/>
        <v>43270</v>
      </c>
      <c r="I94" s="34">
        <v>88056</v>
      </c>
      <c r="J94" s="35">
        <v>66</v>
      </c>
      <c r="K94" s="31" t="s">
        <v>38</v>
      </c>
      <c r="L94" s="32" t="str">
        <f t="shared" si="7"/>
        <v>Active</v>
      </c>
      <c r="M94" s="32" t="str">
        <f t="shared" ca="1" si="9"/>
        <v>8.04 Years</v>
      </c>
      <c r="N94" s="32" t="str">
        <f>VLOOKUP(J94, Lookup_Performance!$A$2:$D$6, 3, TRUE)</f>
        <v>Developing</v>
      </c>
      <c r="O94" s="34">
        <f>I94 * VLOOKUP(J94, Lookup_Performance!$A$2:$D$6, 4, TRUE)</f>
        <v>1761.1200000000001</v>
      </c>
    </row>
    <row r="95" spans="1:15" x14ac:dyDescent="0.35">
      <c r="A95" s="24" t="s">
        <v>164</v>
      </c>
      <c r="B95" s="25" t="s">
        <v>23</v>
      </c>
      <c r="C95" s="25" t="s">
        <v>40</v>
      </c>
      <c r="D95" s="26" t="str">
        <f t="shared" si="8"/>
        <v>Thomas Miller</v>
      </c>
      <c r="E95" s="26" t="s">
        <v>28</v>
      </c>
      <c r="F95" s="27">
        <v>43112</v>
      </c>
      <c r="G95" s="27" t="str">
        <f>VLOOKUP(E95, Lookup_Departments!$A$2:$B$7, 2, FALSE)</f>
        <v>Operations</v>
      </c>
      <c r="H95" s="27">
        <f t="shared" si="6"/>
        <v>43112</v>
      </c>
      <c r="I95" s="28">
        <v>67414</v>
      </c>
      <c r="J95" s="29">
        <v>84</v>
      </c>
      <c r="K95" s="25" t="s">
        <v>25</v>
      </c>
      <c r="L95" s="26" t="str">
        <f t="shared" si="7"/>
        <v>Left</v>
      </c>
      <c r="M95" s="26" t="str">
        <f t="shared" ca="1" si="9"/>
        <v>8.48 Years</v>
      </c>
      <c r="N95" s="26" t="str">
        <f>VLOOKUP(J95, Lookup_Performance!$A$2:$D$6, 3, TRUE)</f>
        <v>Achieving</v>
      </c>
      <c r="O95" s="28">
        <f>I95 * VLOOKUP(J95, Lookup_Performance!$A$2:$D$6, 4, TRUE)</f>
        <v>3370.7000000000003</v>
      </c>
    </row>
    <row r="96" spans="1:15" x14ac:dyDescent="0.35">
      <c r="A96" s="30" t="s">
        <v>165</v>
      </c>
      <c r="B96" s="31" t="s">
        <v>133</v>
      </c>
      <c r="C96" s="31" t="s">
        <v>17</v>
      </c>
      <c r="D96" s="32" t="str">
        <f t="shared" si="8"/>
        <v>William Gonzalez</v>
      </c>
      <c r="E96" s="32" t="s">
        <v>37</v>
      </c>
      <c r="F96" s="33">
        <v>42008</v>
      </c>
      <c r="G96" s="33" t="str">
        <f>VLOOKUP(E96, Lookup_Departments!$A$2:$B$7, 2, FALSE)</f>
        <v>Sales</v>
      </c>
      <c r="H96" s="33">
        <f t="shared" si="6"/>
        <v>42008</v>
      </c>
      <c r="I96" s="34">
        <v>115288</v>
      </c>
      <c r="J96" s="35">
        <v>61</v>
      </c>
      <c r="K96" s="31" t="s">
        <v>38</v>
      </c>
      <c r="L96" s="32" t="str">
        <f t="shared" si="7"/>
        <v>Active</v>
      </c>
      <c r="M96" s="32" t="str">
        <f t="shared" ca="1" si="9"/>
        <v>11.5 Years</v>
      </c>
      <c r="N96" s="32" t="str">
        <f>VLOOKUP(J96, Lookup_Performance!$A$2:$D$6, 3, TRUE)</f>
        <v>Developing</v>
      </c>
      <c r="O96" s="34">
        <f>I96 * VLOOKUP(J96, Lookup_Performance!$A$2:$D$6, 4, TRUE)</f>
        <v>2305.7600000000002</v>
      </c>
    </row>
    <row r="97" spans="1:15" x14ac:dyDescent="0.35">
      <c r="A97" s="24" t="s">
        <v>166</v>
      </c>
      <c r="B97" s="25"/>
      <c r="C97" s="25" t="s">
        <v>24</v>
      </c>
      <c r="D97" s="26" t="str">
        <f t="shared" si="8"/>
        <v>Smith</v>
      </c>
      <c r="E97" s="26" t="s">
        <v>37</v>
      </c>
      <c r="F97" s="27">
        <v>43439</v>
      </c>
      <c r="G97" s="27" t="str">
        <f>VLOOKUP(E97, Lookup_Departments!$A$2:$B$7, 2, FALSE)</f>
        <v>Sales</v>
      </c>
      <c r="H97" s="27">
        <f t="shared" si="6"/>
        <v>43439</v>
      </c>
      <c r="I97" s="28">
        <v>80140</v>
      </c>
      <c r="J97" s="29">
        <v>58</v>
      </c>
      <c r="K97" s="25" t="s">
        <v>38</v>
      </c>
      <c r="L97" s="26" t="str">
        <f t="shared" si="7"/>
        <v>Active</v>
      </c>
      <c r="M97" s="26" t="str">
        <f t="shared" ca="1" si="9"/>
        <v>7.58 Years</v>
      </c>
      <c r="N97" s="26" t="str">
        <f>VLOOKUP(J97, Lookup_Performance!$A$2:$D$6, 3, TRUE)</f>
        <v>Developing</v>
      </c>
      <c r="O97" s="28">
        <f>I97 * VLOOKUP(J97, Lookup_Performance!$A$2:$D$6, 4, TRUE)</f>
        <v>1602.8</v>
      </c>
    </row>
    <row r="98" spans="1:15" x14ac:dyDescent="0.35">
      <c r="A98" s="30" t="s">
        <v>167</v>
      </c>
      <c r="B98" s="31" t="s">
        <v>19</v>
      </c>
      <c r="C98" s="31" t="s">
        <v>27</v>
      </c>
      <c r="D98" s="32" t="str">
        <f t="shared" si="8"/>
        <v>John Johnson</v>
      </c>
      <c r="E98" s="32" t="s">
        <v>11</v>
      </c>
      <c r="F98" s="33">
        <v>44482</v>
      </c>
      <c r="G98" s="33" t="str">
        <f>VLOOKUP(E98, Lookup_Departments!$A$2:$B$7, 2, FALSE)</f>
        <v>Information Technology</v>
      </c>
      <c r="H98" s="33">
        <f t="shared" ref="H98:H129" si="10">IFERROR(DATEVALUE(F98), F98)</f>
        <v>44482</v>
      </c>
      <c r="I98" s="34">
        <v>73087</v>
      </c>
      <c r="J98" s="35">
        <v>69</v>
      </c>
      <c r="K98" s="31" t="s">
        <v>38</v>
      </c>
      <c r="L98" s="32" t="str">
        <f t="shared" ref="L98:L129" si="11">TRIM(K98)</f>
        <v>Active</v>
      </c>
      <c r="M98" s="32" t="str">
        <f t="shared" ca="1" si="9"/>
        <v>4.73 Years</v>
      </c>
      <c r="N98" s="32" t="str">
        <f>VLOOKUP(J98, Lookup_Performance!$A$2:$D$6, 3, TRUE)</f>
        <v>Developing</v>
      </c>
      <c r="O98" s="34">
        <f>I98 * VLOOKUP(J98, Lookup_Performance!$A$2:$D$6, 4, TRUE)</f>
        <v>1461.74</v>
      </c>
    </row>
    <row r="99" spans="1:15" x14ac:dyDescent="0.35">
      <c r="A99" s="24" t="s">
        <v>168</v>
      </c>
      <c r="B99" s="25" t="s">
        <v>43</v>
      </c>
      <c r="C99" s="25" t="s">
        <v>27</v>
      </c>
      <c r="D99" s="26" t="str">
        <f t="shared" si="8"/>
        <v>Jane Johnson</v>
      </c>
      <c r="E99" s="26" t="s">
        <v>37</v>
      </c>
      <c r="F99" s="27">
        <v>44081</v>
      </c>
      <c r="G99" s="27" t="str">
        <f>VLOOKUP(E99, Lookup_Departments!$A$2:$B$7, 2, FALSE)</f>
        <v>Sales</v>
      </c>
      <c r="H99" s="27">
        <f t="shared" si="10"/>
        <v>44081</v>
      </c>
      <c r="I99" s="28">
        <v>95292</v>
      </c>
      <c r="J99" s="29">
        <v>34</v>
      </c>
      <c r="K99" s="25" t="s">
        <v>38</v>
      </c>
      <c r="L99" s="26" t="str">
        <f t="shared" si="11"/>
        <v>Active</v>
      </c>
      <c r="M99" s="26" t="str">
        <f t="shared" ca="1" si="9"/>
        <v>5.83 Years</v>
      </c>
      <c r="N99" s="26" t="str">
        <f>VLOOKUP(J99, Lookup_Performance!$A$2:$D$6, 3, TRUE)</f>
        <v>Needs Improvement</v>
      </c>
      <c r="O99" s="28">
        <f>I99 * VLOOKUP(J99, Lookup_Performance!$A$2:$D$6, 4, TRUE)</f>
        <v>0</v>
      </c>
    </row>
    <row r="100" spans="1:15" x14ac:dyDescent="0.35">
      <c r="A100" s="30" t="s">
        <v>169</v>
      </c>
      <c r="B100" s="31" t="s">
        <v>19</v>
      </c>
      <c r="C100" s="31" t="s">
        <v>48</v>
      </c>
      <c r="D100" s="32" t="str">
        <f t="shared" si="8"/>
        <v>John Jones</v>
      </c>
      <c r="E100" s="32" t="s">
        <v>11</v>
      </c>
      <c r="F100" s="33" t="s">
        <v>170</v>
      </c>
      <c r="G100" s="33" t="str">
        <f>VLOOKUP(E100, Lookup_Departments!$A$2:$B$7, 2, FALSE)</f>
        <v>Information Technology</v>
      </c>
      <c r="H100" s="33">
        <f t="shared" si="10"/>
        <v>43532</v>
      </c>
      <c r="I100" s="34">
        <v>83603.929999999993</v>
      </c>
      <c r="J100" s="35">
        <v>33</v>
      </c>
      <c r="K100" s="31" t="s">
        <v>38</v>
      </c>
      <c r="L100" s="32" t="str">
        <f t="shared" si="11"/>
        <v>Active</v>
      </c>
      <c r="M100" s="32" t="str">
        <f t="shared" ca="1" si="9"/>
        <v>7.32 Years</v>
      </c>
      <c r="N100" s="32" t="str">
        <f>VLOOKUP(J100, Lookup_Performance!$A$2:$D$6, 3, TRUE)</f>
        <v>Needs Improvement</v>
      </c>
      <c r="O100" s="34">
        <f>I100 * VLOOKUP(J100, Lookup_Performance!$A$2:$D$6, 4, TRUE)</f>
        <v>0</v>
      </c>
    </row>
    <row r="101" spans="1:15" x14ac:dyDescent="0.35">
      <c r="A101" s="24" t="s">
        <v>171</v>
      </c>
      <c r="B101" s="25" t="s">
        <v>43</v>
      </c>
      <c r="C101" s="25" t="s">
        <v>56</v>
      </c>
      <c r="D101" s="26" t="str">
        <f t="shared" si="8"/>
        <v>Jane Lopez</v>
      </c>
      <c r="E101" s="26" t="s">
        <v>15</v>
      </c>
      <c r="F101" s="27" t="s">
        <v>172</v>
      </c>
      <c r="G101" s="27" t="str">
        <f>VLOOKUP(E101, Lookup_Departments!$A$2:$B$7, 2, FALSE)</f>
        <v>Marketing</v>
      </c>
      <c r="H101" s="27">
        <f t="shared" si="10"/>
        <v>42074</v>
      </c>
      <c r="I101" s="28">
        <v>101750</v>
      </c>
      <c r="J101" s="29">
        <v>84</v>
      </c>
      <c r="K101" s="25" t="s">
        <v>25</v>
      </c>
      <c r="L101" s="26" t="str">
        <f t="shared" si="11"/>
        <v>Left</v>
      </c>
      <c r="M101" s="26" t="str">
        <f t="shared" ca="1" si="9"/>
        <v>11.31 Years</v>
      </c>
      <c r="N101" s="26" t="str">
        <f>VLOOKUP(J101, Lookup_Performance!$A$2:$D$6, 3, TRUE)</f>
        <v>Achieving</v>
      </c>
      <c r="O101" s="28">
        <f>I101 * VLOOKUP(J101, Lookup_Performance!$A$2:$D$6, 4, TRUE)</f>
        <v>5087.5</v>
      </c>
    </row>
    <row r="102" spans="1:15" x14ac:dyDescent="0.35">
      <c r="A102" s="30" t="s">
        <v>173</v>
      </c>
      <c r="B102" s="31" t="s">
        <v>86</v>
      </c>
      <c r="C102" s="31" t="s">
        <v>17</v>
      </c>
      <c r="D102" s="32" t="str">
        <f t="shared" si="8"/>
        <v>Melissa Gonzalez</v>
      </c>
      <c r="E102" s="32" t="s">
        <v>15</v>
      </c>
      <c r="F102" s="33" t="s">
        <v>174</v>
      </c>
      <c r="G102" s="33" t="str">
        <f>VLOOKUP(E102, Lookup_Departments!$A$2:$B$7, 2, FALSE)</f>
        <v>Marketing</v>
      </c>
      <c r="H102" s="33">
        <f t="shared" si="10"/>
        <v>42785</v>
      </c>
      <c r="I102" s="34">
        <v>82992</v>
      </c>
      <c r="J102" s="35">
        <v>79</v>
      </c>
      <c r="K102" s="31" t="s">
        <v>38</v>
      </c>
      <c r="L102" s="32" t="str">
        <f t="shared" si="11"/>
        <v>Active</v>
      </c>
      <c r="M102" s="32" t="str">
        <f t="shared" ca="1" si="9"/>
        <v>9.38 Years</v>
      </c>
      <c r="N102" s="32" t="str">
        <f>VLOOKUP(J102, Lookup_Performance!$A$2:$D$6, 3, TRUE)</f>
        <v>Achieving</v>
      </c>
      <c r="O102" s="34">
        <f>I102 * VLOOKUP(J102, Lookup_Performance!$A$2:$D$6, 4, TRUE)</f>
        <v>4149.6000000000004</v>
      </c>
    </row>
    <row r="103" spans="1:15" x14ac:dyDescent="0.35">
      <c r="A103" s="24" t="s">
        <v>175</v>
      </c>
      <c r="B103" s="25" t="s">
        <v>133</v>
      </c>
      <c r="C103" s="25" t="s">
        <v>51</v>
      </c>
      <c r="D103" s="26" t="str">
        <f t="shared" si="8"/>
        <v>William Davis</v>
      </c>
      <c r="E103" s="26" t="s">
        <v>11</v>
      </c>
      <c r="F103" s="27">
        <v>45055</v>
      </c>
      <c r="G103" s="27" t="str">
        <f>VLOOKUP(E103, Lookup_Departments!$A$2:$B$7, 2, FALSE)</f>
        <v>Information Technology</v>
      </c>
      <c r="H103" s="27">
        <f t="shared" si="10"/>
        <v>45055</v>
      </c>
      <c r="I103" s="28">
        <v>49942</v>
      </c>
      <c r="J103" s="29">
        <v>51</v>
      </c>
      <c r="K103" s="25" t="s">
        <v>38</v>
      </c>
      <c r="L103" s="26" t="str">
        <f t="shared" si="11"/>
        <v>Active</v>
      </c>
      <c r="M103" s="26" t="str">
        <f t="shared" ca="1" si="9"/>
        <v>3.15 Years</v>
      </c>
      <c r="N103" s="26" t="str">
        <f>VLOOKUP(J103, Lookup_Performance!$A$2:$D$6, 3, TRUE)</f>
        <v>Developing</v>
      </c>
      <c r="O103" s="28">
        <f>I103 * VLOOKUP(J103, Lookup_Performance!$A$2:$D$6, 4, TRUE)</f>
        <v>998.84</v>
      </c>
    </row>
    <row r="104" spans="1:15" x14ac:dyDescent="0.35">
      <c r="A104" s="30" t="s">
        <v>176</v>
      </c>
      <c r="B104" s="31" t="s">
        <v>19</v>
      </c>
      <c r="C104" s="31" t="s">
        <v>24</v>
      </c>
      <c r="D104" s="32" t="str">
        <f t="shared" si="8"/>
        <v>John Smith</v>
      </c>
      <c r="E104" s="32" t="s">
        <v>28</v>
      </c>
      <c r="F104" s="33">
        <v>43122</v>
      </c>
      <c r="G104" s="33" t="str">
        <f>VLOOKUP(E104, Lookup_Departments!$A$2:$B$7, 2, FALSE)</f>
        <v>Operations</v>
      </c>
      <c r="H104" s="33">
        <f t="shared" si="10"/>
        <v>43122</v>
      </c>
      <c r="I104" s="34">
        <v>89060</v>
      </c>
      <c r="J104" s="35">
        <v>58</v>
      </c>
      <c r="K104" s="31" t="s">
        <v>38</v>
      </c>
      <c r="L104" s="32" t="str">
        <f t="shared" si="11"/>
        <v>Active</v>
      </c>
      <c r="M104" s="32" t="str">
        <f t="shared" ca="1" si="9"/>
        <v>8.45 Years</v>
      </c>
      <c r="N104" s="32" t="str">
        <f>VLOOKUP(J104, Lookup_Performance!$A$2:$D$6, 3, TRUE)</f>
        <v>Developing</v>
      </c>
      <c r="O104" s="34">
        <f>I104 * VLOOKUP(J104, Lookup_Performance!$A$2:$D$6, 4, TRUE)</f>
        <v>1781.2</v>
      </c>
    </row>
    <row r="105" spans="1:15" x14ac:dyDescent="0.35">
      <c r="A105" s="24" t="s">
        <v>177</v>
      </c>
      <c r="B105" s="25" t="s">
        <v>53</v>
      </c>
      <c r="C105" s="25" t="s">
        <v>17</v>
      </c>
      <c r="D105" s="26" t="str">
        <f t="shared" si="8"/>
        <v>James Gonzalez</v>
      </c>
      <c r="E105" s="26" t="s">
        <v>11</v>
      </c>
      <c r="F105" s="27">
        <v>43879</v>
      </c>
      <c r="G105" s="27" t="str">
        <f>VLOOKUP(E105, Lookup_Departments!$A$2:$B$7, 2, FALSE)</f>
        <v>Information Technology</v>
      </c>
      <c r="H105" s="27">
        <f t="shared" si="10"/>
        <v>43879</v>
      </c>
      <c r="I105" s="28">
        <v>53786</v>
      </c>
      <c r="J105" s="29">
        <v>98</v>
      </c>
      <c r="K105" s="25" t="s">
        <v>38</v>
      </c>
      <c r="L105" s="26" t="str">
        <f t="shared" si="11"/>
        <v>Active</v>
      </c>
      <c r="M105" s="26" t="str">
        <f t="shared" ca="1" si="9"/>
        <v>6.38 Years</v>
      </c>
      <c r="N105" s="26" t="str">
        <f>VLOOKUP(J105, Lookup_Performance!$A$2:$D$6, 3, TRUE)</f>
        <v>Outstanding</v>
      </c>
      <c r="O105" s="28">
        <f>I105 * VLOOKUP(J105, Lookup_Performance!$A$2:$D$6, 4, TRUE)</f>
        <v>6454.32</v>
      </c>
    </row>
    <row r="106" spans="1:15" x14ac:dyDescent="0.35">
      <c r="A106" s="30" t="s">
        <v>178</v>
      </c>
      <c r="B106" s="31" t="s">
        <v>9</v>
      </c>
      <c r="C106" s="31" t="s">
        <v>27</v>
      </c>
      <c r="D106" s="32" t="str">
        <f t="shared" si="8"/>
        <v>Emily Johnson</v>
      </c>
      <c r="E106" s="32" t="s">
        <v>28</v>
      </c>
      <c r="F106" s="33" t="s">
        <v>179</v>
      </c>
      <c r="G106" s="33" t="str">
        <f>VLOOKUP(E106, Lookup_Departments!$A$2:$B$7, 2, FALSE)</f>
        <v>Operations</v>
      </c>
      <c r="H106" s="33">
        <f t="shared" si="10"/>
        <v>42512</v>
      </c>
      <c r="I106" s="34">
        <v>81167</v>
      </c>
      <c r="J106" s="35">
        <v>68.08</v>
      </c>
      <c r="K106" s="31" t="s">
        <v>38</v>
      </c>
      <c r="L106" s="32" t="str">
        <f t="shared" si="11"/>
        <v>Active</v>
      </c>
      <c r="M106" s="32" t="str">
        <f t="shared" ca="1" si="9"/>
        <v>10.12 Years</v>
      </c>
      <c r="N106" s="32" t="str">
        <f>VLOOKUP(J106, Lookup_Performance!$A$2:$D$6, 3, TRUE)</f>
        <v>Developing</v>
      </c>
      <c r="O106" s="34">
        <f>I106 * VLOOKUP(J106, Lookup_Performance!$A$2:$D$6, 4, TRUE)</f>
        <v>1623.3400000000001</v>
      </c>
    </row>
    <row r="107" spans="1:15" x14ac:dyDescent="0.35">
      <c r="A107" s="24" t="s">
        <v>180</v>
      </c>
      <c r="B107" s="25" t="s">
        <v>133</v>
      </c>
      <c r="C107" s="25" t="s">
        <v>44</v>
      </c>
      <c r="D107" s="26" t="str">
        <f t="shared" si="8"/>
        <v>William Williams</v>
      </c>
      <c r="E107" s="26" t="s">
        <v>15</v>
      </c>
      <c r="F107" s="27">
        <v>44349</v>
      </c>
      <c r="G107" s="27" t="str">
        <f>VLOOKUP(E107, Lookup_Departments!$A$2:$B$7, 2, FALSE)</f>
        <v>Marketing</v>
      </c>
      <c r="H107" s="27">
        <f t="shared" si="10"/>
        <v>44349</v>
      </c>
      <c r="I107" s="28">
        <v>66688</v>
      </c>
      <c r="J107" s="29">
        <v>40</v>
      </c>
      <c r="K107" s="25" t="s">
        <v>25</v>
      </c>
      <c r="L107" s="26" t="str">
        <f t="shared" si="11"/>
        <v>Left</v>
      </c>
      <c r="M107" s="26" t="str">
        <f t="shared" ca="1" si="9"/>
        <v>5.09 Years</v>
      </c>
      <c r="N107" s="26" t="str">
        <f>VLOOKUP(J107, Lookup_Performance!$A$2:$D$6, 3, TRUE)</f>
        <v>Needs Improvement</v>
      </c>
      <c r="O107" s="28">
        <f>I107 * VLOOKUP(J107, Lookup_Performance!$A$2:$D$6, 4, TRUE)</f>
        <v>0</v>
      </c>
    </row>
    <row r="108" spans="1:15" x14ac:dyDescent="0.35">
      <c r="A108" s="30" t="s">
        <v>181</v>
      </c>
      <c r="B108" s="31" t="s">
        <v>53</v>
      </c>
      <c r="C108" s="31" t="s">
        <v>48</v>
      </c>
      <c r="D108" s="32" t="str">
        <f t="shared" si="8"/>
        <v>James Jones</v>
      </c>
      <c r="E108" s="32" t="s">
        <v>11</v>
      </c>
      <c r="F108" s="33">
        <v>44394</v>
      </c>
      <c r="G108" s="33" t="str">
        <f>VLOOKUP(E108, Lookup_Departments!$A$2:$B$7, 2, FALSE)</f>
        <v>Information Technology</v>
      </c>
      <c r="H108" s="33">
        <f t="shared" si="10"/>
        <v>44394</v>
      </c>
      <c r="I108" s="34">
        <v>91672</v>
      </c>
      <c r="J108" s="35">
        <v>88</v>
      </c>
      <c r="K108" s="31" t="s">
        <v>260</v>
      </c>
      <c r="L108" s="32" t="str">
        <f t="shared" si="11"/>
        <v>Active</v>
      </c>
      <c r="M108" s="32" t="str">
        <f t="shared" ca="1" si="9"/>
        <v>4.96 Years</v>
      </c>
      <c r="N108" s="32" t="str">
        <f>VLOOKUP(J108, Lookup_Performance!$A$2:$D$6, 3, TRUE)</f>
        <v>Exceeding</v>
      </c>
      <c r="O108" s="34">
        <f>I108 * VLOOKUP(J108, Lookup_Performance!$A$2:$D$6, 4, TRUE)</f>
        <v>7333.76</v>
      </c>
    </row>
    <row r="109" spans="1:15" x14ac:dyDescent="0.35">
      <c r="A109" s="24" t="s">
        <v>182</v>
      </c>
      <c r="B109" s="25" t="s">
        <v>32</v>
      </c>
      <c r="C109" s="25" t="s">
        <v>17</v>
      </c>
      <c r="D109" s="26" t="str">
        <f t="shared" si="8"/>
        <v>Jessica Gonzalez</v>
      </c>
      <c r="E109" s="26" t="s">
        <v>78</v>
      </c>
      <c r="F109" s="27" t="s">
        <v>183</v>
      </c>
      <c r="G109" s="27" t="str">
        <f>VLOOKUP(E109, Lookup_Departments!$A$2:$B$7, 2, FALSE)</f>
        <v>Human Resources</v>
      </c>
      <c r="H109" s="27">
        <f t="shared" si="10"/>
        <v>42687</v>
      </c>
      <c r="I109" s="28">
        <v>77737</v>
      </c>
      <c r="J109" s="29">
        <v>77</v>
      </c>
      <c r="K109" s="25" t="s">
        <v>38</v>
      </c>
      <c r="L109" s="26" t="str">
        <f t="shared" si="11"/>
        <v>Active</v>
      </c>
      <c r="M109" s="26" t="str">
        <f t="shared" ca="1" si="9"/>
        <v>9.64 Years</v>
      </c>
      <c r="N109" s="26" t="str">
        <f>VLOOKUP(J109, Lookup_Performance!$A$2:$D$6, 3, TRUE)</f>
        <v>Achieving</v>
      </c>
      <c r="O109" s="28">
        <f>I109 * VLOOKUP(J109, Lookup_Performance!$A$2:$D$6, 4, TRUE)</f>
        <v>3886.8500000000004</v>
      </c>
    </row>
    <row r="110" spans="1:15" x14ac:dyDescent="0.35">
      <c r="A110" s="30" t="s">
        <v>184</v>
      </c>
      <c r="B110" s="31" t="s">
        <v>75</v>
      </c>
      <c r="C110" s="31" t="s">
        <v>40</v>
      </c>
      <c r="D110" s="32" t="str">
        <f t="shared" si="8"/>
        <v>Sarah Miller</v>
      </c>
      <c r="E110" s="32" t="s">
        <v>37</v>
      </c>
      <c r="F110" s="33">
        <v>43513</v>
      </c>
      <c r="G110" s="33" t="str">
        <f>VLOOKUP(E110, Lookup_Departments!$A$2:$B$7, 2, FALSE)</f>
        <v>Sales</v>
      </c>
      <c r="H110" s="33">
        <f t="shared" si="10"/>
        <v>43513</v>
      </c>
      <c r="I110" s="34">
        <v>95686</v>
      </c>
      <c r="J110" s="35">
        <v>91</v>
      </c>
      <c r="K110" s="31" t="s">
        <v>38</v>
      </c>
      <c r="L110" s="32" t="str">
        <f t="shared" si="11"/>
        <v>Active</v>
      </c>
      <c r="M110" s="32" t="str">
        <f t="shared" ca="1" si="9"/>
        <v>7.38 Years</v>
      </c>
      <c r="N110" s="32" t="str">
        <f>VLOOKUP(J110, Lookup_Performance!$A$2:$D$6, 3, TRUE)</f>
        <v>Exceeding</v>
      </c>
      <c r="O110" s="34">
        <f>I110 * VLOOKUP(J110, Lookup_Performance!$A$2:$D$6, 4, TRUE)</f>
        <v>7654.88</v>
      </c>
    </row>
    <row r="111" spans="1:15" x14ac:dyDescent="0.35">
      <c r="A111" s="24" t="s">
        <v>185</v>
      </c>
      <c r="B111" s="25" t="s">
        <v>32</v>
      </c>
      <c r="C111" s="25" t="s">
        <v>24</v>
      </c>
      <c r="D111" s="26" t="str">
        <f t="shared" si="8"/>
        <v>Jessica Smith</v>
      </c>
      <c r="E111" s="26" t="s">
        <v>37</v>
      </c>
      <c r="F111" s="27">
        <v>42625</v>
      </c>
      <c r="G111" s="27" t="str">
        <f>VLOOKUP(E111, Lookup_Departments!$A$2:$B$7, 2, FALSE)</f>
        <v>Sales</v>
      </c>
      <c r="H111" s="27">
        <f t="shared" si="10"/>
        <v>42625</v>
      </c>
      <c r="I111" s="28">
        <v>114681</v>
      </c>
      <c r="J111" s="29">
        <v>36</v>
      </c>
      <c r="K111" s="25" t="s">
        <v>260</v>
      </c>
      <c r="L111" s="26" t="str">
        <f t="shared" si="11"/>
        <v>Active</v>
      </c>
      <c r="M111" s="26" t="str">
        <f t="shared" ca="1" si="9"/>
        <v>9.81 Years</v>
      </c>
      <c r="N111" s="26" t="str">
        <f>VLOOKUP(J111, Lookup_Performance!$A$2:$D$6, 3, TRUE)</f>
        <v>Needs Improvement</v>
      </c>
      <c r="O111" s="28">
        <f>I111 * VLOOKUP(J111, Lookup_Performance!$A$2:$D$6, 4, TRUE)</f>
        <v>0</v>
      </c>
    </row>
    <row r="112" spans="1:15" x14ac:dyDescent="0.35">
      <c r="A112" s="30" t="s">
        <v>186</v>
      </c>
      <c r="B112" s="31" t="s">
        <v>23</v>
      </c>
      <c r="C112" s="31" t="s">
        <v>48</v>
      </c>
      <c r="D112" s="32" t="str">
        <f t="shared" si="8"/>
        <v>Thomas Jones</v>
      </c>
      <c r="E112" s="32" t="s">
        <v>28</v>
      </c>
      <c r="F112" s="33" t="s">
        <v>187</v>
      </c>
      <c r="G112" s="33" t="str">
        <f>VLOOKUP(E112, Lookup_Departments!$A$2:$B$7, 2, FALSE)</f>
        <v>Operations</v>
      </c>
      <c r="H112" s="33">
        <f t="shared" si="10"/>
        <v>44421</v>
      </c>
      <c r="I112" s="34">
        <v>109121</v>
      </c>
      <c r="J112" s="35">
        <v>72</v>
      </c>
      <c r="K112" s="31" t="s">
        <v>38</v>
      </c>
      <c r="L112" s="32" t="str">
        <f t="shared" si="11"/>
        <v>Active</v>
      </c>
      <c r="M112" s="32" t="str">
        <f t="shared" ca="1" si="9"/>
        <v>4.89 Years</v>
      </c>
      <c r="N112" s="32" t="str">
        <f>VLOOKUP(J112, Lookup_Performance!$A$2:$D$6, 3, TRUE)</f>
        <v>Achieving</v>
      </c>
      <c r="O112" s="34">
        <f>I112 * VLOOKUP(J112, Lookup_Performance!$A$2:$D$6, 4, TRUE)</f>
        <v>5456.05</v>
      </c>
    </row>
    <row r="113" spans="1:15" x14ac:dyDescent="0.35">
      <c r="A113" s="24" t="s">
        <v>188</v>
      </c>
      <c r="B113" s="25" t="s">
        <v>58</v>
      </c>
      <c r="C113" s="25" t="s">
        <v>10</v>
      </c>
      <c r="D113" s="26" t="str">
        <f t="shared" si="8"/>
        <v>Amanda Brown</v>
      </c>
      <c r="E113" s="26" t="s">
        <v>15</v>
      </c>
      <c r="F113" s="27">
        <v>43996</v>
      </c>
      <c r="G113" s="27" t="str">
        <f>VLOOKUP(E113, Lookup_Departments!$A$2:$B$7, 2, FALSE)</f>
        <v>Marketing</v>
      </c>
      <c r="H113" s="27">
        <f t="shared" si="10"/>
        <v>43996</v>
      </c>
      <c r="I113" s="28">
        <v>112791</v>
      </c>
      <c r="J113" s="29">
        <v>87</v>
      </c>
      <c r="K113" s="25" t="s">
        <v>38</v>
      </c>
      <c r="L113" s="26" t="str">
        <f t="shared" si="11"/>
        <v>Active</v>
      </c>
      <c r="M113" s="26" t="str">
        <f t="shared" ca="1" si="9"/>
        <v>6.06 Years</v>
      </c>
      <c r="N113" s="26" t="str">
        <f>VLOOKUP(J113, Lookup_Performance!$A$2:$D$6, 3, TRUE)</f>
        <v>Exceeding</v>
      </c>
      <c r="O113" s="28">
        <f>I113 * VLOOKUP(J113, Lookup_Performance!$A$2:$D$6, 4, TRUE)</f>
        <v>9023.2800000000007</v>
      </c>
    </row>
    <row r="114" spans="1:15" x14ac:dyDescent="0.35">
      <c r="A114" s="30" t="s">
        <v>189</v>
      </c>
      <c r="B114" s="31" t="s">
        <v>47</v>
      </c>
      <c r="C114" s="31" t="s">
        <v>20</v>
      </c>
      <c r="D114" s="32" t="str">
        <f t="shared" si="8"/>
        <v>Robert Martinez</v>
      </c>
      <c r="E114" s="32" t="s">
        <v>11</v>
      </c>
      <c r="F114" s="33" t="s">
        <v>190</v>
      </c>
      <c r="G114" s="33" t="str">
        <f>VLOOKUP(E114, Lookup_Departments!$A$2:$B$7, 2, FALSE)</f>
        <v>Information Technology</v>
      </c>
      <c r="H114" s="33">
        <f t="shared" si="10"/>
        <v>44747</v>
      </c>
      <c r="I114" s="34">
        <v>118008</v>
      </c>
      <c r="J114" s="35">
        <v>71</v>
      </c>
      <c r="K114" s="31" t="s">
        <v>38</v>
      </c>
      <c r="L114" s="32" t="str">
        <f t="shared" si="11"/>
        <v>Active</v>
      </c>
      <c r="M114" s="32" t="str">
        <f t="shared" ca="1" si="9"/>
        <v>4 Years</v>
      </c>
      <c r="N114" s="32" t="str">
        <f>VLOOKUP(J114, Lookup_Performance!$A$2:$D$6, 3, TRUE)</f>
        <v>Achieving</v>
      </c>
      <c r="O114" s="34">
        <f>I114 * VLOOKUP(J114, Lookup_Performance!$A$2:$D$6, 4, TRUE)</f>
        <v>5900.4000000000005</v>
      </c>
    </row>
    <row r="115" spans="1:15" x14ac:dyDescent="0.35">
      <c r="A115" s="24" t="s">
        <v>191</v>
      </c>
      <c r="B115" s="25" t="s">
        <v>23</v>
      </c>
      <c r="C115" s="25" t="s">
        <v>40</v>
      </c>
      <c r="D115" s="26" t="str">
        <f t="shared" si="8"/>
        <v>Thomas Miller</v>
      </c>
      <c r="E115" s="26" t="s">
        <v>11</v>
      </c>
      <c r="F115" s="27" t="s">
        <v>192</v>
      </c>
      <c r="G115" s="27" t="str">
        <f>VLOOKUP(E115, Lookup_Departments!$A$2:$B$7, 2, FALSE)</f>
        <v>Information Technology</v>
      </c>
      <c r="H115" s="27">
        <f t="shared" si="10"/>
        <v>42561</v>
      </c>
      <c r="I115" s="28">
        <v>74370</v>
      </c>
      <c r="J115" s="29">
        <v>82</v>
      </c>
      <c r="K115" s="25" t="s">
        <v>38</v>
      </c>
      <c r="L115" s="26" t="str">
        <f t="shared" si="11"/>
        <v>Active</v>
      </c>
      <c r="M115" s="26" t="str">
        <f t="shared" ca="1" si="9"/>
        <v>9.98 Years</v>
      </c>
      <c r="N115" s="26" t="str">
        <f>VLOOKUP(J115, Lookup_Performance!$A$2:$D$6, 3, TRUE)</f>
        <v>Achieving</v>
      </c>
      <c r="O115" s="28">
        <f>I115 * VLOOKUP(J115, Lookup_Performance!$A$2:$D$6, 4, TRUE)</f>
        <v>3718.5</v>
      </c>
    </row>
    <row r="116" spans="1:15" x14ac:dyDescent="0.35">
      <c r="A116" s="30" t="s">
        <v>193</v>
      </c>
      <c r="B116" s="31" t="s">
        <v>93</v>
      </c>
      <c r="C116" s="31" t="s">
        <v>34</v>
      </c>
      <c r="D116" s="32" t="str">
        <f t="shared" si="8"/>
        <v>David Rodriguez</v>
      </c>
      <c r="E116" s="32" t="s">
        <v>11</v>
      </c>
      <c r="F116" s="33">
        <v>44674</v>
      </c>
      <c r="G116" s="33" t="str">
        <f>VLOOKUP(E116, Lookup_Departments!$A$2:$B$7, 2, FALSE)</f>
        <v>Information Technology</v>
      </c>
      <c r="H116" s="33">
        <f t="shared" si="10"/>
        <v>44674</v>
      </c>
      <c r="I116" s="34">
        <v>77819</v>
      </c>
      <c r="J116" s="35">
        <v>79</v>
      </c>
      <c r="K116" s="31" t="s">
        <v>260</v>
      </c>
      <c r="L116" s="32" t="str">
        <f t="shared" si="11"/>
        <v>Active</v>
      </c>
      <c r="M116" s="32" t="str">
        <f t="shared" ca="1" si="9"/>
        <v>4.2 Years</v>
      </c>
      <c r="N116" s="32" t="str">
        <f>VLOOKUP(J116, Lookup_Performance!$A$2:$D$6, 3, TRUE)</f>
        <v>Achieving</v>
      </c>
      <c r="O116" s="34">
        <f>I116 * VLOOKUP(J116, Lookup_Performance!$A$2:$D$6, 4, TRUE)</f>
        <v>3890.9500000000003</v>
      </c>
    </row>
    <row r="117" spans="1:15" x14ac:dyDescent="0.35">
      <c r="A117" s="24" t="s">
        <v>194</v>
      </c>
      <c r="B117" s="25" t="s">
        <v>43</v>
      </c>
      <c r="C117" s="25" t="s">
        <v>40</v>
      </c>
      <c r="D117" s="26" t="str">
        <f t="shared" si="8"/>
        <v>Jane Miller</v>
      </c>
      <c r="E117" s="26" t="s">
        <v>15</v>
      </c>
      <c r="F117" s="27" t="s">
        <v>195</v>
      </c>
      <c r="G117" s="27" t="str">
        <f>VLOOKUP(E117, Lookup_Departments!$A$2:$B$7, 2, FALSE)</f>
        <v>Marketing</v>
      </c>
      <c r="H117" s="27">
        <f t="shared" si="10"/>
        <v>42865</v>
      </c>
      <c r="I117" s="28">
        <v>48748</v>
      </c>
      <c r="J117" s="29">
        <v>83</v>
      </c>
      <c r="K117" s="25" t="s">
        <v>38</v>
      </c>
      <c r="L117" s="26" t="str">
        <f t="shared" si="11"/>
        <v>Active</v>
      </c>
      <c r="M117" s="26" t="str">
        <f t="shared" ca="1" si="9"/>
        <v>9.15 Years</v>
      </c>
      <c r="N117" s="26" t="str">
        <f>VLOOKUP(J117, Lookup_Performance!$A$2:$D$6, 3, TRUE)</f>
        <v>Achieving</v>
      </c>
      <c r="O117" s="28">
        <f>I117 * VLOOKUP(J117, Lookup_Performance!$A$2:$D$6, 4, TRUE)</f>
        <v>2437.4</v>
      </c>
    </row>
    <row r="118" spans="1:15" x14ac:dyDescent="0.35">
      <c r="A118" s="30" t="s">
        <v>196</v>
      </c>
      <c r="B118" s="31" t="s">
        <v>53</v>
      </c>
      <c r="C118" s="31" t="s">
        <v>34</v>
      </c>
      <c r="D118" s="32" t="str">
        <f t="shared" si="8"/>
        <v>James Rodriguez</v>
      </c>
      <c r="E118" s="32" t="s">
        <v>28</v>
      </c>
      <c r="F118" s="33">
        <v>43971</v>
      </c>
      <c r="G118" s="33" t="str">
        <f>VLOOKUP(E118, Lookup_Departments!$A$2:$B$7, 2, FALSE)</f>
        <v>Operations</v>
      </c>
      <c r="H118" s="33">
        <f t="shared" si="10"/>
        <v>43971</v>
      </c>
      <c r="I118" s="34">
        <v>101997</v>
      </c>
      <c r="J118" s="35">
        <v>38</v>
      </c>
      <c r="K118" s="31" t="s">
        <v>95</v>
      </c>
      <c r="L118" s="32" t="str">
        <f t="shared" si="11"/>
        <v>Resigned</v>
      </c>
      <c r="M118" s="32" t="str">
        <f t="shared" ca="1" si="9"/>
        <v>6.12 Years</v>
      </c>
      <c r="N118" s="32" t="str">
        <f>VLOOKUP(J118, Lookup_Performance!$A$2:$D$6, 3, TRUE)</f>
        <v>Needs Improvement</v>
      </c>
      <c r="O118" s="34">
        <f>I118 * VLOOKUP(J118, Lookup_Performance!$A$2:$D$6, 4, TRUE)</f>
        <v>0</v>
      </c>
    </row>
    <row r="119" spans="1:15" x14ac:dyDescent="0.35">
      <c r="A119" s="24" t="s">
        <v>197</v>
      </c>
      <c r="B119" s="25" t="s">
        <v>75</v>
      </c>
      <c r="C119" s="25" t="s">
        <v>34</v>
      </c>
      <c r="D119" s="26" t="str">
        <f t="shared" si="8"/>
        <v>Sarah Rodriguez</v>
      </c>
      <c r="E119" s="26" t="s">
        <v>78</v>
      </c>
      <c r="F119" s="27" t="s">
        <v>198</v>
      </c>
      <c r="G119" s="27" t="str">
        <f>VLOOKUP(E119, Lookup_Departments!$A$2:$B$7, 2, FALSE)</f>
        <v>Human Resources</v>
      </c>
      <c r="H119" s="27">
        <f t="shared" si="10"/>
        <v>45036</v>
      </c>
      <c r="I119" s="28">
        <v>115260</v>
      </c>
      <c r="J119" s="29">
        <v>77</v>
      </c>
      <c r="K119" s="25" t="s">
        <v>38</v>
      </c>
      <c r="L119" s="26" t="str">
        <f t="shared" si="11"/>
        <v>Active</v>
      </c>
      <c r="M119" s="26" t="str">
        <f t="shared" ca="1" si="9"/>
        <v>3.21 Years</v>
      </c>
      <c r="N119" s="26" t="str">
        <f>VLOOKUP(J119, Lookup_Performance!$A$2:$D$6, 3, TRUE)</f>
        <v>Achieving</v>
      </c>
      <c r="O119" s="28">
        <f>I119 * VLOOKUP(J119, Lookup_Performance!$A$2:$D$6, 4, TRUE)</f>
        <v>5763</v>
      </c>
    </row>
    <row r="120" spans="1:15" x14ac:dyDescent="0.35">
      <c r="A120" s="30" t="s">
        <v>199</v>
      </c>
      <c r="B120" s="31" t="s">
        <v>75</v>
      </c>
      <c r="C120" s="31" t="s">
        <v>30</v>
      </c>
      <c r="D120" s="32" t="str">
        <f t="shared" si="8"/>
        <v>Sarah Wilson</v>
      </c>
      <c r="E120" s="32" t="s">
        <v>37</v>
      </c>
      <c r="F120" s="33">
        <v>44500</v>
      </c>
      <c r="G120" s="33" t="str">
        <f>VLOOKUP(E120, Lookup_Departments!$A$2:$B$7, 2, FALSE)</f>
        <v>Sales</v>
      </c>
      <c r="H120" s="33">
        <f t="shared" si="10"/>
        <v>44500</v>
      </c>
      <c r="I120" s="34">
        <v>83603.929999999993</v>
      </c>
      <c r="J120" s="35">
        <v>49</v>
      </c>
      <c r="K120" s="31" t="s">
        <v>38</v>
      </c>
      <c r="L120" s="32" t="str">
        <f t="shared" si="11"/>
        <v>Active</v>
      </c>
      <c r="M120" s="32" t="str">
        <f t="shared" ca="1" si="9"/>
        <v>4.68 Years</v>
      </c>
      <c r="N120" s="32" t="str">
        <f>VLOOKUP(J120, Lookup_Performance!$A$2:$D$6, 3, TRUE)</f>
        <v>Needs Improvement</v>
      </c>
      <c r="O120" s="34">
        <f>I120 * VLOOKUP(J120, Lookup_Performance!$A$2:$D$6, 4, TRUE)</f>
        <v>0</v>
      </c>
    </row>
    <row r="121" spans="1:15" x14ac:dyDescent="0.35">
      <c r="A121" s="24" t="s">
        <v>200</v>
      </c>
      <c r="B121" s="25" t="s">
        <v>86</v>
      </c>
      <c r="C121" s="25" t="s">
        <v>10</v>
      </c>
      <c r="D121" s="26" t="str">
        <f t="shared" si="8"/>
        <v>Melissa Brown</v>
      </c>
      <c r="E121" s="26" t="s">
        <v>11</v>
      </c>
      <c r="F121" s="27" t="s">
        <v>201</v>
      </c>
      <c r="G121" s="27" t="str">
        <f>VLOOKUP(E121, Lookup_Departments!$A$2:$B$7, 2, FALSE)</f>
        <v>Information Technology</v>
      </c>
      <c r="H121" s="27">
        <f t="shared" si="10"/>
        <v>44493</v>
      </c>
      <c r="I121" s="28">
        <v>83603.929999999993</v>
      </c>
      <c r="J121" s="29">
        <v>69</v>
      </c>
      <c r="K121" s="25" t="s">
        <v>25</v>
      </c>
      <c r="L121" s="26" t="str">
        <f t="shared" si="11"/>
        <v>Left</v>
      </c>
      <c r="M121" s="26" t="str">
        <f t="shared" ca="1" si="9"/>
        <v>4.7 Years</v>
      </c>
      <c r="N121" s="26" t="str">
        <f>VLOOKUP(J121, Lookup_Performance!$A$2:$D$6, 3, TRUE)</f>
        <v>Developing</v>
      </c>
      <c r="O121" s="28">
        <f>I121 * VLOOKUP(J121, Lookup_Performance!$A$2:$D$6, 4, TRUE)</f>
        <v>1672.0785999999998</v>
      </c>
    </row>
    <row r="122" spans="1:15" x14ac:dyDescent="0.35">
      <c r="A122" s="30" t="s">
        <v>202</v>
      </c>
      <c r="B122" s="31" t="s">
        <v>47</v>
      </c>
      <c r="C122" s="31" t="s">
        <v>44</v>
      </c>
      <c r="D122" s="32" t="str">
        <f t="shared" si="8"/>
        <v>Robert Williams</v>
      </c>
      <c r="E122" s="32" t="s">
        <v>37</v>
      </c>
      <c r="F122" s="33">
        <v>42956</v>
      </c>
      <c r="G122" s="33" t="str">
        <f>VLOOKUP(E122, Lookup_Departments!$A$2:$B$7, 2, FALSE)</f>
        <v>Sales</v>
      </c>
      <c r="H122" s="33">
        <f t="shared" si="10"/>
        <v>42956</v>
      </c>
      <c r="I122" s="34">
        <v>83603.929999999993</v>
      </c>
      <c r="J122" s="35">
        <v>76</v>
      </c>
      <c r="K122" s="31" t="s">
        <v>38</v>
      </c>
      <c r="L122" s="32" t="str">
        <f t="shared" si="11"/>
        <v>Active</v>
      </c>
      <c r="M122" s="32" t="str">
        <f t="shared" ca="1" si="9"/>
        <v>8.9 Years</v>
      </c>
      <c r="N122" s="32" t="str">
        <f>VLOOKUP(J122, Lookup_Performance!$A$2:$D$6, 3, TRUE)</f>
        <v>Achieving</v>
      </c>
      <c r="O122" s="34">
        <f>I122 * VLOOKUP(J122, Lookup_Performance!$A$2:$D$6, 4, TRUE)</f>
        <v>4180.1965</v>
      </c>
    </row>
    <row r="123" spans="1:15" x14ac:dyDescent="0.35">
      <c r="A123" s="24" t="s">
        <v>203</v>
      </c>
      <c r="B123" s="25" t="s">
        <v>86</v>
      </c>
      <c r="C123" s="25" t="s">
        <v>34</v>
      </c>
      <c r="D123" s="26" t="str">
        <f t="shared" si="8"/>
        <v>Melissa Rodriguez</v>
      </c>
      <c r="E123" s="26" t="s">
        <v>28</v>
      </c>
      <c r="F123" s="27">
        <v>44930</v>
      </c>
      <c r="G123" s="27" t="str">
        <f>VLOOKUP(E123, Lookup_Departments!$A$2:$B$7, 2, FALSE)</f>
        <v>Operations</v>
      </c>
      <c r="H123" s="27">
        <f t="shared" si="10"/>
        <v>44930</v>
      </c>
      <c r="I123" s="28">
        <v>60623</v>
      </c>
      <c r="J123" s="29">
        <v>78</v>
      </c>
      <c r="K123" s="25" t="s">
        <v>38</v>
      </c>
      <c r="L123" s="26" t="str">
        <f t="shared" si="11"/>
        <v>Active</v>
      </c>
      <c r="M123" s="26" t="str">
        <f t="shared" ca="1" si="9"/>
        <v>3.5 Years</v>
      </c>
      <c r="N123" s="26" t="str">
        <f>VLOOKUP(J123, Lookup_Performance!$A$2:$D$6, 3, TRUE)</f>
        <v>Achieving</v>
      </c>
      <c r="O123" s="28">
        <f>I123 * VLOOKUP(J123, Lookup_Performance!$A$2:$D$6, 4, TRUE)</f>
        <v>3031.15</v>
      </c>
    </row>
    <row r="124" spans="1:15" x14ac:dyDescent="0.35">
      <c r="A124" s="30" t="s">
        <v>204</v>
      </c>
      <c r="B124" s="31" t="s">
        <v>53</v>
      </c>
      <c r="C124" s="31" t="s">
        <v>27</v>
      </c>
      <c r="D124" s="32" t="str">
        <f t="shared" si="8"/>
        <v>James Johnson</v>
      </c>
      <c r="E124" s="32" t="s">
        <v>78</v>
      </c>
      <c r="F124" s="33" t="s">
        <v>205</v>
      </c>
      <c r="G124" s="33" t="str">
        <f>VLOOKUP(E124, Lookup_Departments!$A$2:$B$7, 2, FALSE)</f>
        <v>Human Resources</v>
      </c>
      <c r="H124" s="33">
        <f t="shared" si="10"/>
        <v>44053</v>
      </c>
      <c r="I124" s="34">
        <v>68092</v>
      </c>
      <c r="J124" s="35">
        <v>93</v>
      </c>
      <c r="K124" s="31" t="s">
        <v>38</v>
      </c>
      <c r="L124" s="32" t="str">
        <f t="shared" si="11"/>
        <v>Active</v>
      </c>
      <c r="M124" s="32" t="str">
        <f t="shared" ca="1" si="9"/>
        <v>5.9 Years</v>
      </c>
      <c r="N124" s="32" t="str">
        <f>VLOOKUP(J124, Lookup_Performance!$A$2:$D$6, 3, TRUE)</f>
        <v>Exceeding</v>
      </c>
      <c r="O124" s="34">
        <f>I124 * VLOOKUP(J124, Lookup_Performance!$A$2:$D$6, 4, TRUE)</f>
        <v>5447.36</v>
      </c>
    </row>
    <row r="125" spans="1:15" x14ac:dyDescent="0.35">
      <c r="A125" s="24" t="s">
        <v>206</v>
      </c>
      <c r="B125" s="25" t="s">
        <v>36</v>
      </c>
      <c r="C125" s="25" t="s">
        <v>30</v>
      </c>
      <c r="D125" s="26" t="str">
        <f t="shared" si="8"/>
        <v>Michael Wilson</v>
      </c>
      <c r="E125" s="26" t="s">
        <v>15</v>
      </c>
      <c r="F125" s="27">
        <v>44653</v>
      </c>
      <c r="G125" s="27" t="str">
        <f>VLOOKUP(E125, Lookup_Departments!$A$2:$B$7, 2, FALSE)</f>
        <v>Marketing</v>
      </c>
      <c r="H125" s="27">
        <f t="shared" si="10"/>
        <v>44653</v>
      </c>
      <c r="I125" s="28">
        <v>88155</v>
      </c>
      <c r="J125" s="29">
        <v>68</v>
      </c>
      <c r="K125" s="25" t="s">
        <v>38</v>
      </c>
      <c r="L125" s="26" t="str">
        <f t="shared" si="11"/>
        <v>Active</v>
      </c>
      <c r="M125" s="26" t="str">
        <f t="shared" ca="1" si="9"/>
        <v>4.26 Years</v>
      </c>
      <c r="N125" s="26" t="str">
        <f>VLOOKUP(J125, Lookup_Performance!$A$2:$D$6, 3, TRUE)</f>
        <v>Developing</v>
      </c>
      <c r="O125" s="28">
        <f>I125 * VLOOKUP(J125, Lookup_Performance!$A$2:$D$6, 4, TRUE)</f>
        <v>1763.1000000000001</v>
      </c>
    </row>
    <row r="126" spans="1:15" x14ac:dyDescent="0.35">
      <c r="A126" s="30" t="s">
        <v>207</v>
      </c>
      <c r="B126" s="31" t="s">
        <v>133</v>
      </c>
      <c r="C126" s="31" t="s">
        <v>48</v>
      </c>
      <c r="D126" s="32" t="str">
        <f t="shared" si="8"/>
        <v>William Jones</v>
      </c>
      <c r="E126" s="32" t="s">
        <v>15</v>
      </c>
      <c r="F126" s="33" t="s">
        <v>208</v>
      </c>
      <c r="G126" s="33" t="str">
        <f>VLOOKUP(E126, Lookup_Departments!$A$2:$B$7, 2, FALSE)</f>
        <v>Marketing</v>
      </c>
      <c r="H126" s="33">
        <f t="shared" si="10"/>
        <v>43183</v>
      </c>
      <c r="I126" s="34">
        <v>107903</v>
      </c>
      <c r="J126" s="35">
        <v>42</v>
      </c>
      <c r="K126" s="31" t="s">
        <v>260</v>
      </c>
      <c r="L126" s="32" t="str">
        <f t="shared" si="11"/>
        <v>Active</v>
      </c>
      <c r="M126" s="32" t="str">
        <f t="shared" ca="1" si="9"/>
        <v>8.28 Years</v>
      </c>
      <c r="N126" s="32" t="str">
        <f>VLOOKUP(J126, Lookup_Performance!$A$2:$D$6, 3, TRUE)</f>
        <v>Needs Improvement</v>
      </c>
      <c r="O126" s="34">
        <f>I126 * VLOOKUP(J126, Lookup_Performance!$A$2:$D$6, 4, TRUE)</f>
        <v>0</v>
      </c>
    </row>
    <row r="127" spans="1:15" x14ac:dyDescent="0.35">
      <c r="A127" s="24" t="s">
        <v>209</v>
      </c>
      <c r="B127" s="25" t="s">
        <v>133</v>
      </c>
      <c r="C127" s="25" t="s">
        <v>44</v>
      </c>
      <c r="D127" s="26" t="str">
        <f t="shared" si="8"/>
        <v>William Williams</v>
      </c>
      <c r="E127" s="26" t="s">
        <v>11</v>
      </c>
      <c r="F127" s="27">
        <v>43305</v>
      </c>
      <c r="G127" s="27" t="str">
        <f>VLOOKUP(E127, Lookup_Departments!$A$2:$B$7, 2, FALSE)</f>
        <v>Information Technology</v>
      </c>
      <c r="H127" s="27">
        <f t="shared" si="10"/>
        <v>43305</v>
      </c>
      <c r="I127" s="28">
        <v>62818</v>
      </c>
      <c r="J127" s="29">
        <v>34</v>
      </c>
      <c r="K127" s="25" t="s">
        <v>260</v>
      </c>
      <c r="L127" s="26" t="str">
        <f t="shared" si="11"/>
        <v>Active</v>
      </c>
      <c r="M127" s="26" t="str">
        <f t="shared" ca="1" si="9"/>
        <v>7.95 Years</v>
      </c>
      <c r="N127" s="26" t="str">
        <f>VLOOKUP(J127, Lookup_Performance!$A$2:$D$6, 3, TRUE)</f>
        <v>Needs Improvement</v>
      </c>
      <c r="O127" s="28">
        <f>I127 * VLOOKUP(J127, Lookup_Performance!$A$2:$D$6, 4, TRUE)</f>
        <v>0</v>
      </c>
    </row>
    <row r="128" spans="1:15" x14ac:dyDescent="0.35">
      <c r="A128" s="30" t="s">
        <v>210</v>
      </c>
      <c r="B128" s="31" t="s">
        <v>93</v>
      </c>
      <c r="C128" s="31" t="s">
        <v>44</v>
      </c>
      <c r="D128" s="32" t="str">
        <f t="shared" si="8"/>
        <v>David Williams</v>
      </c>
      <c r="E128" s="32" t="s">
        <v>78</v>
      </c>
      <c r="F128" s="33">
        <v>43301</v>
      </c>
      <c r="G128" s="33" t="str">
        <f>VLOOKUP(E128, Lookup_Departments!$A$2:$B$7, 2, FALSE)</f>
        <v>Human Resources</v>
      </c>
      <c r="H128" s="33">
        <f t="shared" si="10"/>
        <v>43301</v>
      </c>
      <c r="I128" s="34">
        <v>85151</v>
      </c>
      <c r="J128" s="35">
        <v>35</v>
      </c>
      <c r="K128" s="31" t="s">
        <v>260</v>
      </c>
      <c r="L128" s="32" t="str">
        <f t="shared" si="11"/>
        <v>Active</v>
      </c>
      <c r="M128" s="32" t="str">
        <f t="shared" ca="1" si="9"/>
        <v>7.96 Years</v>
      </c>
      <c r="N128" s="32" t="str">
        <f>VLOOKUP(J128, Lookup_Performance!$A$2:$D$6, 3, TRUE)</f>
        <v>Needs Improvement</v>
      </c>
      <c r="O128" s="34">
        <f>I128 * VLOOKUP(J128, Lookup_Performance!$A$2:$D$6, 4, TRUE)</f>
        <v>0</v>
      </c>
    </row>
    <row r="129" spans="1:15" x14ac:dyDescent="0.35">
      <c r="A129" s="24" t="s">
        <v>211</v>
      </c>
      <c r="B129" s="25" t="s">
        <v>43</v>
      </c>
      <c r="C129" s="25" t="s">
        <v>51</v>
      </c>
      <c r="D129" s="26" t="str">
        <f t="shared" si="8"/>
        <v>Jane Davis</v>
      </c>
      <c r="E129" s="26" t="s">
        <v>21</v>
      </c>
      <c r="F129" s="27" t="s">
        <v>212</v>
      </c>
      <c r="G129" s="27" t="str">
        <f>VLOOKUP(E129, Lookup_Departments!$A$2:$B$7, 2, FALSE)</f>
        <v>Finance</v>
      </c>
      <c r="H129" s="27">
        <f t="shared" si="10"/>
        <v>42433</v>
      </c>
      <c r="I129" s="28">
        <v>46390</v>
      </c>
      <c r="J129" s="29">
        <v>95</v>
      </c>
      <c r="K129" s="25" t="s">
        <v>38</v>
      </c>
      <c r="L129" s="26" t="str">
        <f t="shared" si="11"/>
        <v>Active</v>
      </c>
      <c r="M129" s="26" t="str">
        <f t="shared" ca="1" si="9"/>
        <v>10.33 Years</v>
      </c>
      <c r="N129" s="26" t="str">
        <f>VLOOKUP(J129, Lookup_Performance!$A$2:$D$6, 3, TRUE)</f>
        <v>Outstanding</v>
      </c>
      <c r="O129" s="28">
        <f>I129 * VLOOKUP(J129, Lookup_Performance!$A$2:$D$6, 4, TRUE)</f>
        <v>5566.8</v>
      </c>
    </row>
    <row r="130" spans="1:15" x14ac:dyDescent="0.35">
      <c r="A130" s="30" t="s">
        <v>213</v>
      </c>
      <c r="B130" s="31" t="s">
        <v>19</v>
      </c>
      <c r="C130" s="31" t="s">
        <v>20</v>
      </c>
      <c r="D130" s="32" t="str">
        <f t="shared" si="8"/>
        <v>John Martinez</v>
      </c>
      <c r="E130" s="32" t="s">
        <v>78</v>
      </c>
      <c r="F130" s="33">
        <v>44643</v>
      </c>
      <c r="G130" s="33" t="str">
        <f>VLOOKUP(E130, Lookup_Departments!$A$2:$B$7, 2, FALSE)</f>
        <v>Human Resources</v>
      </c>
      <c r="H130" s="33">
        <f t="shared" ref="H130:H151" si="12">IFERROR(DATEVALUE(F130), F130)</f>
        <v>44643</v>
      </c>
      <c r="I130" s="34">
        <v>111920</v>
      </c>
      <c r="J130" s="35">
        <v>90</v>
      </c>
      <c r="K130" s="31" t="s">
        <v>261</v>
      </c>
      <c r="L130" s="32" t="str">
        <f t="shared" ref="L130:L151" si="13">TRIM(K130)</f>
        <v>Left</v>
      </c>
      <c r="M130" s="32" t="str">
        <f t="shared" ca="1" si="9"/>
        <v>4.28 Years</v>
      </c>
      <c r="N130" s="32" t="str">
        <f>VLOOKUP(J130, Lookup_Performance!$A$2:$D$6, 3, TRUE)</f>
        <v>Exceeding</v>
      </c>
      <c r="O130" s="34">
        <f>I130 * VLOOKUP(J130, Lookup_Performance!$A$2:$D$6, 4, TRUE)</f>
        <v>8953.6</v>
      </c>
    </row>
    <row r="131" spans="1:15" x14ac:dyDescent="0.35">
      <c r="A131" s="24" t="s">
        <v>214</v>
      </c>
      <c r="B131" s="25" t="s">
        <v>93</v>
      </c>
      <c r="C131" s="25" t="s">
        <v>113</v>
      </c>
      <c r="D131" s="26" t="str">
        <f t="shared" ref="D131:D151" si="14">_xlfn.TEXTJOIN(" ", TRUE, B131, C131)</f>
        <v>David Anderson</v>
      </c>
      <c r="E131" s="26" t="s">
        <v>78</v>
      </c>
      <c r="F131" s="27" t="s">
        <v>215</v>
      </c>
      <c r="G131" s="27" t="str">
        <f>VLOOKUP(E131, Lookup_Departments!$A$2:$B$7, 2, FALSE)</f>
        <v>Human Resources</v>
      </c>
      <c r="H131" s="27">
        <f t="shared" si="12"/>
        <v>42944</v>
      </c>
      <c r="I131" s="28">
        <v>115618</v>
      </c>
      <c r="J131" s="29">
        <v>42</v>
      </c>
      <c r="K131" s="25" t="s">
        <v>260</v>
      </c>
      <c r="L131" s="26" t="str">
        <f t="shared" si="13"/>
        <v>Active</v>
      </c>
      <c r="M131" s="26" t="str">
        <f t="shared" ref="M131:M151" ca="1" si="15">ROUNDDOWN(YEARFRAC(H131, TODAY()), 2) &amp;" " &amp; "Years"</f>
        <v>8.93 Years</v>
      </c>
      <c r="N131" s="26" t="str">
        <f>VLOOKUP(J131, Lookup_Performance!$A$2:$D$6, 3, TRUE)</f>
        <v>Needs Improvement</v>
      </c>
      <c r="O131" s="28">
        <f>I131 * VLOOKUP(J131, Lookup_Performance!$A$2:$D$6, 4, TRUE)</f>
        <v>0</v>
      </c>
    </row>
    <row r="132" spans="1:15" x14ac:dyDescent="0.35">
      <c r="A132" s="30" t="s">
        <v>216</v>
      </c>
      <c r="B132" s="31" t="s">
        <v>75</v>
      </c>
      <c r="C132" s="31" t="s">
        <v>24</v>
      </c>
      <c r="D132" s="32" t="str">
        <f t="shared" si="14"/>
        <v>Sarah Smith</v>
      </c>
      <c r="E132" s="32" t="s">
        <v>37</v>
      </c>
      <c r="F132" s="33" t="s">
        <v>217</v>
      </c>
      <c r="G132" s="33" t="str">
        <f>VLOOKUP(E132, Lookup_Departments!$A$2:$B$7, 2, FALSE)</f>
        <v>Sales</v>
      </c>
      <c r="H132" s="33">
        <f t="shared" si="12"/>
        <v>45057</v>
      </c>
      <c r="I132" s="34">
        <v>110618</v>
      </c>
      <c r="J132" s="35">
        <v>88</v>
      </c>
      <c r="K132" s="31" t="s">
        <v>95</v>
      </c>
      <c r="L132" s="32" t="str">
        <f t="shared" si="13"/>
        <v>Resigned</v>
      </c>
      <c r="M132" s="32" t="str">
        <f t="shared" ca="1" si="15"/>
        <v>3.15 Years</v>
      </c>
      <c r="N132" s="32" t="str">
        <f>VLOOKUP(J132, Lookup_Performance!$A$2:$D$6, 3, TRUE)</f>
        <v>Exceeding</v>
      </c>
      <c r="O132" s="34">
        <f>I132 * VLOOKUP(J132, Lookup_Performance!$A$2:$D$6, 4, TRUE)</f>
        <v>8849.44</v>
      </c>
    </row>
    <row r="133" spans="1:15" x14ac:dyDescent="0.35">
      <c r="A133" s="24" t="s">
        <v>218</v>
      </c>
      <c r="B133" s="25" t="s">
        <v>86</v>
      </c>
      <c r="C133" s="25" t="s">
        <v>14</v>
      </c>
      <c r="D133" s="26" t="str">
        <f t="shared" si="14"/>
        <v>Melissa Hernandez</v>
      </c>
      <c r="E133" s="26" t="s">
        <v>28</v>
      </c>
      <c r="F133" s="27" t="s">
        <v>219</v>
      </c>
      <c r="G133" s="27" t="str">
        <f>VLOOKUP(E133, Lookup_Departments!$A$2:$B$7, 2, FALSE)</f>
        <v>Operations</v>
      </c>
      <c r="H133" s="27">
        <f t="shared" si="12"/>
        <v>44639</v>
      </c>
      <c r="I133" s="28">
        <v>108395</v>
      </c>
      <c r="J133" s="29">
        <v>78</v>
      </c>
      <c r="K133" s="25" t="s">
        <v>25</v>
      </c>
      <c r="L133" s="26" t="str">
        <f t="shared" si="13"/>
        <v>Left</v>
      </c>
      <c r="M133" s="26" t="str">
        <f t="shared" ca="1" si="15"/>
        <v>4.29 Years</v>
      </c>
      <c r="N133" s="26" t="str">
        <f>VLOOKUP(J133, Lookup_Performance!$A$2:$D$6, 3, TRUE)</f>
        <v>Achieving</v>
      </c>
      <c r="O133" s="28">
        <f>I133 * VLOOKUP(J133, Lookup_Performance!$A$2:$D$6, 4, TRUE)</f>
        <v>5419.75</v>
      </c>
    </row>
    <row r="134" spans="1:15" x14ac:dyDescent="0.35">
      <c r="A134" s="30" t="s">
        <v>220</v>
      </c>
      <c r="B134" s="31" t="s">
        <v>86</v>
      </c>
      <c r="C134" s="31" t="s">
        <v>27</v>
      </c>
      <c r="D134" s="32" t="str">
        <f t="shared" si="14"/>
        <v>Melissa Johnson</v>
      </c>
      <c r="E134" s="32" t="s">
        <v>21</v>
      </c>
      <c r="F134" s="33">
        <v>43091</v>
      </c>
      <c r="G134" s="33" t="str">
        <f>VLOOKUP(E134, Lookup_Departments!$A$2:$B$7, 2, FALSE)</f>
        <v>Finance</v>
      </c>
      <c r="H134" s="33">
        <f t="shared" si="12"/>
        <v>43091</v>
      </c>
      <c r="I134" s="34">
        <v>88005</v>
      </c>
      <c r="J134" s="35">
        <v>69</v>
      </c>
      <c r="K134" s="31" t="s">
        <v>38</v>
      </c>
      <c r="L134" s="32" t="str">
        <f t="shared" si="13"/>
        <v>Active</v>
      </c>
      <c r="M134" s="32" t="str">
        <f t="shared" ca="1" si="15"/>
        <v>8.53 Years</v>
      </c>
      <c r="N134" s="32" t="str">
        <f>VLOOKUP(J134, Lookup_Performance!$A$2:$D$6, 3, TRUE)</f>
        <v>Developing</v>
      </c>
      <c r="O134" s="34">
        <f>I134 * VLOOKUP(J134, Lookup_Performance!$A$2:$D$6, 4, TRUE)</f>
        <v>1760.1000000000001</v>
      </c>
    </row>
    <row r="135" spans="1:15" x14ac:dyDescent="0.35">
      <c r="A135" s="24" t="s">
        <v>221</v>
      </c>
      <c r="B135" s="25" t="s">
        <v>43</v>
      </c>
      <c r="C135" s="25" t="s">
        <v>111</v>
      </c>
      <c r="D135" s="26" t="str">
        <f t="shared" si="14"/>
        <v>Jane Garcia</v>
      </c>
      <c r="E135" s="26" t="s">
        <v>15</v>
      </c>
      <c r="F135" s="27" t="s">
        <v>222</v>
      </c>
      <c r="G135" s="27" t="str">
        <f>VLOOKUP(E135, Lookup_Departments!$A$2:$B$7, 2, FALSE)</f>
        <v>Marketing</v>
      </c>
      <c r="H135" s="27">
        <f t="shared" si="12"/>
        <v>44437</v>
      </c>
      <c r="I135" s="28">
        <v>83007</v>
      </c>
      <c r="J135" s="29">
        <v>82</v>
      </c>
      <c r="K135" s="25" t="s">
        <v>38</v>
      </c>
      <c r="L135" s="26" t="str">
        <f t="shared" si="13"/>
        <v>Active</v>
      </c>
      <c r="M135" s="26" t="str">
        <f t="shared" ca="1" si="15"/>
        <v>4.85 Years</v>
      </c>
      <c r="N135" s="26" t="str">
        <f>VLOOKUP(J135, Lookup_Performance!$A$2:$D$6, 3, TRUE)</f>
        <v>Achieving</v>
      </c>
      <c r="O135" s="28">
        <f>I135 * VLOOKUP(J135, Lookup_Performance!$A$2:$D$6, 4, TRUE)</f>
        <v>4150.3500000000004</v>
      </c>
    </row>
    <row r="136" spans="1:15" x14ac:dyDescent="0.35">
      <c r="A136" s="30" t="s">
        <v>223</v>
      </c>
      <c r="B136" s="31" t="s">
        <v>93</v>
      </c>
      <c r="C136" s="31" t="s">
        <v>51</v>
      </c>
      <c r="D136" s="32" t="str">
        <f t="shared" si="14"/>
        <v>David Davis</v>
      </c>
      <c r="E136" s="32" t="s">
        <v>11</v>
      </c>
      <c r="F136" s="33">
        <v>43360</v>
      </c>
      <c r="G136" s="33" t="str">
        <f>VLOOKUP(E136, Lookup_Departments!$A$2:$B$7, 2, FALSE)</f>
        <v>Information Technology</v>
      </c>
      <c r="H136" s="33">
        <f t="shared" si="12"/>
        <v>43360</v>
      </c>
      <c r="I136" s="34">
        <v>61547</v>
      </c>
      <c r="J136" s="35">
        <v>68</v>
      </c>
      <c r="K136" s="31" t="s">
        <v>260</v>
      </c>
      <c r="L136" s="32" t="str">
        <f t="shared" si="13"/>
        <v>Active</v>
      </c>
      <c r="M136" s="32" t="str">
        <f t="shared" ca="1" si="15"/>
        <v>7.8 Years</v>
      </c>
      <c r="N136" s="32" t="str">
        <f>VLOOKUP(J136, Lookup_Performance!$A$2:$D$6, 3, TRUE)</f>
        <v>Developing</v>
      </c>
      <c r="O136" s="34">
        <f>I136 * VLOOKUP(J136, Lookup_Performance!$A$2:$D$6, 4, TRUE)</f>
        <v>1230.94</v>
      </c>
    </row>
    <row r="137" spans="1:15" x14ac:dyDescent="0.35">
      <c r="A137" s="24" t="s">
        <v>224</v>
      </c>
      <c r="B137" s="25" t="s">
        <v>53</v>
      </c>
      <c r="C137" s="25" t="s">
        <v>30</v>
      </c>
      <c r="D137" s="26" t="str">
        <f t="shared" si="14"/>
        <v>James Wilson</v>
      </c>
      <c r="E137" s="26" t="s">
        <v>37</v>
      </c>
      <c r="F137" s="27">
        <v>44375</v>
      </c>
      <c r="G137" s="27" t="str">
        <f>VLOOKUP(E137, Lookup_Departments!$A$2:$B$7, 2, FALSE)</f>
        <v>Sales</v>
      </c>
      <c r="H137" s="27">
        <f t="shared" si="12"/>
        <v>44375</v>
      </c>
      <c r="I137" s="28">
        <v>83603.929999999993</v>
      </c>
      <c r="J137" s="29">
        <v>52</v>
      </c>
      <c r="K137" s="25" t="s">
        <v>38</v>
      </c>
      <c r="L137" s="26" t="str">
        <f t="shared" si="13"/>
        <v>Active</v>
      </c>
      <c r="M137" s="26" t="str">
        <f t="shared" ca="1" si="15"/>
        <v>5.02 Years</v>
      </c>
      <c r="N137" s="26" t="str">
        <f>VLOOKUP(J137, Lookup_Performance!$A$2:$D$6, 3, TRUE)</f>
        <v>Developing</v>
      </c>
      <c r="O137" s="28">
        <f>I137 * VLOOKUP(J137, Lookup_Performance!$A$2:$D$6, 4, TRUE)</f>
        <v>1672.0785999999998</v>
      </c>
    </row>
    <row r="138" spans="1:15" x14ac:dyDescent="0.35">
      <c r="A138" s="30" t="s">
        <v>225</v>
      </c>
      <c r="B138" s="31" t="s">
        <v>13</v>
      </c>
      <c r="C138" s="31" t="s">
        <v>27</v>
      </c>
      <c r="D138" s="32" t="str">
        <f t="shared" si="14"/>
        <v>Richard Johnson</v>
      </c>
      <c r="E138" s="32" t="s">
        <v>28</v>
      </c>
      <c r="F138" s="33" t="s">
        <v>226</v>
      </c>
      <c r="G138" s="33" t="str">
        <f>VLOOKUP(E138, Lookup_Departments!$A$2:$B$7, 2, FALSE)</f>
        <v>Operations</v>
      </c>
      <c r="H138" s="33">
        <f t="shared" si="12"/>
        <v>43011</v>
      </c>
      <c r="I138" s="34">
        <v>50399</v>
      </c>
      <c r="J138" s="35">
        <v>92</v>
      </c>
      <c r="K138" s="31" t="s">
        <v>25</v>
      </c>
      <c r="L138" s="32" t="str">
        <f t="shared" si="13"/>
        <v>Left</v>
      </c>
      <c r="M138" s="32" t="str">
        <f t="shared" ca="1" si="15"/>
        <v>8.75 Years</v>
      </c>
      <c r="N138" s="32" t="str">
        <f>VLOOKUP(J138, Lookup_Performance!$A$2:$D$6, 3, TRUE)</f>
        <v>Exceeding</v>
      </c>
      <c r="O138" s="34">
        <f>I138 * VLOOKUP(J138, Lookup_Performance!$A$2:$D$6, 4, TRUE)</f>
        <v>4031.92</v>
      </c>
    </row>
    <row r="139" spans="1:15" x14ac:dyDescent="0.35">
      <c r="A139" s="24" t="s">
        <v>227</v>
      </c>
      <c r="B139" s="25" t="s">
        <v>13</v>
      </c>
      <c r="C139" s="25" t="s">
        <v>44</v>
      </c>
      <c r="D139" s="26" t="str">
        <f t="shared" si="14"/>
        <v>Richard Williams</v>
      </c>
      <c r="E139" s="26" t="s">
        <v>21</v>
      </c>
      <c r="F139" s="27" t="s">
        <v>228</v>
      </c>
      <c r="G139" s="27" t="str">
        <f>VLOOKUP(E139, Lookup_Departments!$A$2:$B$7, 2, FALSE)</f>
        <v>Finance</v>
      </c>
      <c r="H139" s="27">
        <f t="shared" si="12"/>
        <v>42299</v>
      </c>
      <c r="I139" s="28">
        <v>83603.929999999993</v>
      </c>
      <c r="J139" s="29">
        <v>62</v>
      </c>
      <c r="K139" s="25" t="s">
        <v>260</v>
      </c>
      <c r="L139" s="26" t="str">
        <f t="shared" si="13"/>
        <v>Active</v>
      </c>
      <c r="M139" s="26" t="str">
        <f t="shared" ca="1" si="15"/>
        <v>10.7 Years</v>
      </c>
      <c r="N139" s="26" t="str">
        <f>VLOOKUP(J139, Lookup_Performance!$A$2:$D$6, 3, TRUE)</f>
        <v>Developing</v>
      </c>
      <c r="O139" s="28">
        <f>I139 * VLOOKUP(J139, Lookup_Performance!$A$2:$D$6, 4, TRUE)</f>
        <v>1672.0785999999998</v>
      </c>
    </row>
    <row r="140" spans="1:15" x14ac:dyDescent="0.35">
      <c r="A140" s="30" t="s">
        <v>229</v>
      </c>
      <c r="B140" s="31" t="s">
        <v>19</v>
      </c>
      <c r="C140" s="31" t="s">
        <v>14</v>
      </c>
      <c r="D140" s="32" t="str">
        <f t="shared" si="14"/>
        <v>John Hernandez</v>
      </c>
      <c r="E140" s="32" t="s">
        <v>28</v>
      </c>
      <c r="F140" s="33">
        <v>43257</v>
      </c>
      <c r="G140" s="33" t="str">
        <f>VLOOKUP(E140, Lookup_Departments!$A$2:$B$7, 2, FALSE)</f>
        <v>Operations</v>
      </c>
      <c r="H140" s="33">
        <f t="shared" si="12"/>
        <v>43257</v>
      </c>
      <c r="I140" s="34">
        <v>52720</v>
      </c>
      <c r="J140" s="35">
        <v>68</v>
      </c>
      <c r="K140" s="31" t="s">
        <v>260</v>
      </c>
      <c r="L140" s="32" t="str">
        <f t="shared" si="13"/>
        <v>Active</v>
      </c>
      <c r="M140" s="32" t="str">
        <f t="shared" ca="1" si="15"/>
        <v>8.08 Years</v>
      </c>
      <c r="N140" s="32" t="str">
        <f>VLOOKUP(J140, Lookup_Performance!$A$2:$D$6, 3, TRUE)</f>
        <v>Developing</v>
      </c>
      <c r="O140" s="34">
        <f>I140 * VLOOKUP(J140, Lookup_Performance!$A$2:$D$6, 4, TRUE)</f>
        <v>1054.4000000000001</v>
      </c>
    </row>
    <row r="141" spans="1:15" x14ac:dyDescent="0.35">
      <c r="A141" s="24" t="s">
        <v>230</v>
      </c>
      <c r="B141" s="25" t="s">
        <v>75</v>
      </c>
      <c r="C141" s="25" t="s">
        <v>17</v>
      </c>
      <c r="D141" s="26" t="str">
        <f t="shared" si="14"/>
        <v>Sarah Gonzalez</v>
      </c>
      <c r="E141" s="26" t="s">
        <v>28</v>
      </c>
      <c r="F141" s="27">
        <v>42932</v>
      </c>
      <c r="G141" s="27" t="str">
        <f>VLOOKUP(E141, Lookup_Departments!$A$2:$B$7, 2, FALSE)</f>
        <v>Operations</v>
      </c>
      <c r="H141" s="27">
        <f t="shared" si="12"/>
        <v>42932</v>
      </c>
      <c r="I141" s="28">
        <v>65065</v>
      </c>
      <c r="J141" s="29">
        <v>98</v>
      </c>
      <c r="K141" s="25" t="s">
        <v>38</v>
      </c>
      <c r="L141" s="26" t="str">
        <f t="shared" si="13"/>
        <v>Active</v>
      </c>
      <c r="M141" s="26" t="str">
        <f t="shared" ca="1" si="15"/>
        <v>8.97 Years</v>
      </c>
      <c r="N141" s="26" t="str">
        <f>VLOOKUP(J141, Lookup_Performance!$A$2:$D$6, 3, TRUE)</f>
        <v>Outstanding</v>
      </c>
      <c r="O141" s="28">
        <f>I141 * VLOOKUP(J141, Lookup_Performance!$A$2:$D$6, 4, TRUE)</f>
        <v>7807.7999999999993</v>
      </c>
    </row>
    <row r="142" spans="1:15" x14ac:dyDescent="0.35">
      <c r="A142" s="30" t="s">
        <v>231</v>
      </c>
      <c r="B142" s="31" t="s">
        <v>86</v>
      </c>
      <c r="C142" s="31" t="s">
        <v>14</v>
      </c>
      <c r="D142" s="32" t="str">
        <f t="shared" si="14"/>
        <v>Melissa Hernandez</v>
      </c>
      <c r="E142" s="32" t="s">
        <v>37</v>
      </c>
      <c r="F142" s="33">
        <v>42175</v>
      </c>
      <c r="G142" s="33" t="str">
        <f>VLOOKUP(E142, Lookup_Departments!$A$2:$B$7, 2, FALSE)</f>
        <v>Sales</v>
      </c>
      <c r="H142" s="33">
        <f t="shared" si="12"/>
        <v>42175</v>
      </c>
      <c r="I142" s="34">
        <v>83603.929999999993</v>
      </c>
      <c r="J142" s="35">
        <v>94</v>
      </c>
      <c r="K142" s="31" t="s">
        <v>95</v>
      </c>
      <c r="L142" s="32" t="str">
        <f t="shared" si="13"/>
        <v>Resigned</v>
      </c>
      <c r="M142" s="32" t="str">
        <f t="shared" ca="1" si="15"/>
        <v>11.04 Years</v>
      </c>
      <c r="N142" s="32" t="str">
        <f>VLOOKUP(J142, Lookup_Performance!$A$2:$D$6, 3, TRUE)</f>
        <v>Exceeding</v>
      </c>
      <c r="O142" s="34">
        <f>I142 * VLOOKUP(J142, Lookup_Performance!$A$2:$D$6, 4, TRUE)</f>
        <v>6688.3143999999993</v>
      </c>
    </row>
    <row r="143" spans="1:15" x14ac:dyDescent="0.35">
      <c r="A143" s="24" t="s">
        <v>232</v>
      </c>
      <c r="B143" s="25" t="s">
        <v>86</v>
      </c>
      <c r="C143" s="25" t="s">
        <v>14</v>
      </c>
      <c r="D143" s="26" t="str">
        <f t="shared" si="14"/>
        <v>Melissa Hernandez</v>
      </c>
      <c r="E143" s="26" t="s">
        <v>28</v>
      </c>
      <c r="F143" s="27">
        <v>43609</v>
      </c>
      <c r="G143" s="27" t="str">
        <f>VLOOKUP(E143, Lookup_Departments!$A$2:$B$7, 2, FALSE)</f>
        <v>Operations</v>
      </c>
      <c r="H143" s="27">
        <f t="shared" si="12"/>
        <v>43609</v>
      </c>
      <c r="I143" s="28">
        <v>108119</v>
      </c>
      <c r="J143" s="29">
        <v>57</v>
      </c>
      <c r="K143" s="25" t="s">
        <v>95</v>
      </c>
      <c r="L143" s="26" t="str">
        <f t="shared" si="13"/>
        <v>Resigned</v>
      </c>
      <c r="M143" s="26" t="str">
        <f t="shared" ca="1" si="15"/>
        <v>7.11 Years</v>
      </c>
      <c r="N143" s="26" t="str">
        <f>VLOOKUP(J143, Lookup_Performance!$A$2:$D$6, 3, TRUE)</f>
        <v>Developing</v>
      </c>
      <c r="O143" s="28">
        <f>I143 * VLOOKUP(J143, Lookup_Performance!$A$2:$D$6, 4, TRUE)</f>
        <v>2162.38</v>
      </c>
    </row>
    <row r="144" spans="1:15" x14ac:dyDescent="0.35">
      <c r="A144" s="30" t="s">
        <v>233</v>
      </c>
      <c r="B144" s="31" t="s">
        <v>19</v>
      </c>
      <c r="C144" s="31" t="s">
        <v>51</v>
      </c>
      <c r="D144" s="32" t="str">
        <f t="shared" si="14"/>
        <v>John Davis</v>
      </c>
      <c r="E144" s="32" t="s">
        <v>11</v>
      </c>
      <c r="F144" s="33">
        <v>43887</v>
      </c>
      <c r="G144" s="33" t="str">
        <f>VLOOKUP(E144, Lookup_Departments!$A$2:$B$7, 2, FALSE)</f>
        <v>Information Technology</v>
      </c>
      <c r="H144" s="33">
        <f t="shared" si="12"/>
        <v>43887</v>
      </c>
      <c r="I144" s="34">
        <v>83603.929999999993</v>
      </c>
      <c r="J144" s="35">
        <v>96</v>
      </c>
      <c r="K144" s="31" t="s">
        <v>38</v>
      </c>
      <c r="L144" s="32" t="str">
        <f t="shared" si="13"/>
        <v>Active</v>
      </c>
      <c r="M144" s="32" t="str">
        <f t="shared" ca="1" si="15"/>
        <v>6.36 Years</v>
      </c>
      <c r="N144" s="32" t="str">
        <f>VLOOKUP(J144, Lookup_Performance!$A$2:$D$6, 3, TRUE)</f>
        <v>Outstanding</v>
      </c>
      <c r="O144" s="34">
        <f>I144 * VLOOKUP(J144, Lookup_Performance!$A$2:$D$6, 4, TRUE)</f>
        <v>10032.471599999999</v>
      </c>
    </row>
    <row r="145" spans="1:15" x14ac:dyDescent="0.35">
      <c r="A145" s="24" t="s">
        <v>234</v>
      </c>
      <c r="B145" s="25" t="s">
        <v>13</v>
      </c>
      <c r="C145" s="25" t="s">
        <v>51</v>
      </c>
      <c r="D145" s="26" t="str">
        <f t="shared" si="14"/>
        <v>Richard Davis</v>
      </c>
      <c r="E145" s="26" t="s">
        <v>78</v>
      </c>
      <c r="F145" s="27">
        <v>44991</v>
      </c>
      <c r="G145" s="27" t="str">
        <f>VLOOKUP(E145, Lookup_Departments!$A$2:$B$7, 2, FALSE)</f>
        <v>Human Resources</v>
      </c>
      <c r="H145" s="27">
        <f t="shared" si="12"/>
        <v>44991</v>
      </c>
      <c r="I145" s="28">
        <v>106896</v>
      </c>
      <c r="J145" s="29">
        <v>52</v>
      </c>
      <c r="K145" s="25" t="s">
        <v>261</v>
      </c>
      <c r="L145" s="26" t="str">
        <f t="shared" si="13"/>
        <v>Left</v>
      </c>
      <c r="M145" s="26" t="str">
        <f t="shared" ca="1" si="15"/>
        <v>3.33 Years</v>
      </c>
      <c r="N145" s="26" t="str">
        <f>VLOOKUP(J145, Lookup_Performance!$A$2:$D$6, 3, TRUE)</f>
        <v>Developing</v>
      </c>
      <c r="O145" s="28">
        <f>I145 * VLOOKUP(J145, Lookup_Performance!$A$2:$D$6, 4, TRUE)</f>
        <v>2137.92</v>
      </c>
    </row>
    <row r="146" spans="1:15" x14ac:dyDescent="0.35">
      <c r="A146" s="30" t="s">
        <v>235</v>
      </c>
      <c r="B146" s="31"/>
      <c r="C146" s="31" t="s">
        <v>48</v>
      </c>
      <c r="D146" s="32" t="str">
        <f t="shared" si="14"/>
        <v>Jones</v>
      </c>
      <c r="E146" s="32" t="s">
        <v>11</v>
      </c>
      <c r="F146" s="33" t="s">
        <v>236</v>
      </c>
      <c r="G146" s="33" t="str">
        <f>VLOOKUP(E146, Lookup_Departments!$A$2:$B$7, 2, FALSE)</f>
        <v>Information Technology</v>
      </c>
      <c r="H146" s="33">
        <f t="shared" si="12"/>
        <v>43477</v>
      </c>
      <c r="I146" s="34">
        <v>112887</v>
      </c>
      <c r="J146" s="35">
        <v>59</v>
      </c>
      <c r="K146" s="31" t="s">
        <v>38</v>
      </c>
      <c r="L146" s="32" t="str">
        <f t="shared" si="13"/>
        <v>Active</v>
      </c>
      <c r="M146" s="32" t="str">
        <f t="shared" ca="1" si="15"/>
        <v>7.48 Years</v>
      </c>
      <c r="N146" s="32" t="str">
        <f>VLOOKUP(J146, Lookup_Performance!$A$2:$D$6, 3, TRUE)</f>
        <v>Developing</v>
      </c>
      <c r="O146" s="34">
        <f>I146 * VLOOKUP(J146, Lookup_Performance!$A$2:$D$6, 4, TRUE)</f>
        <v>2257.7400000000002</v>
      </c>
    </row>
    <row r="147" spans="1:15" x14ac:dyDescent="0.35">
      <c r="A147" s="24" t="s">
        <v>237</v>
      </c>
      <c r="B147" s="25" t="s">
        <v>133</v>
      </c>
      <c r="C147" s="25" t="s">
        <v>34</v>
      </c>
      <c r="D147" s="26" t="str">
        <f t="shared" si="14"/>
        <v>William Rodriguez</v>
      </c>
      <c r="E147" s="26" t="s">
        <v>21</v>
      </c>
      <c r="F147" s="27">
        <v>45037</v>
      </c>
      <c r="G147" s="27" t="str">
        <f>VLOOKUP(E147, Lookup_Departments!$A$2:$B$7, 2, FALSE)</f>
        <v>Finance</v>
      </c>
      <c r="H147" s="27">
        <f t="shared" si="12"/>
        <v>45037</v>
      </c>
      <c r="I147" s="28">
        <v>85457</v>
      </c>
      <c r="J147" s="29">
        <v>79</v>
      </c>
      <c r="K147" s="25" t="s">
        <v>260</v>
      </c>
      <c r="L147" s="26" t="str">
        <f t="shared" si="13"/>
        <v>Active</v>
      </c>
      <c r="M147" s="26" t="str">
        <f t="shared" ca="1" si="15"/>
        <v>3.2 Years</v>
      </c>
      <c r="N147" s="26" t="str">
        <f>VLOOKUP(J147, Lookup_Performance!$A$2:$D$6, 3, TRUE)</f>
        <v>Achieving</v>
      </c>
      <c r="O147" s="28">
        <f>I147 * VLOOKUP(J147, Lookup_Performance!$A$2:$D$6, 4, TRUE)</f>
        <v>4272.8500000000004</v>
      </c>
    </row>
    <row r="148" spans="1:15" x14ac:dyDescent="0.35">
      <c r="A148" s="30" t="s">
        <v>238</v>
      </c>
      <c r="B148" s="31" t="s">
        <v>86</v>
      </c>
      <c r="C148" s="31" t="s">
        <v>40</v>
      </c>
      <c r="D148" s="32" t="str">
        <f t="shared" si="14"/>
        <v>Melissa Miller</v>
      </c>
      <c r="E148" s="32" t="s">
        <v>37</v>
      </c>
      <c r="F148" s="33">
        <v>42519</v>
      </c>
      <c r="G148" s="33" t="str">
        <f>VLOOKUP(E148, Lookup_Departments!$A$2:$B$7, 2, FALSE)</f>
        <v>Sales</v>
      </c>
      <c r="H148" s="33">
        <f t="shared" si="12"/>
        <v>42519</v>
      </c>
      <c r="I148" s="34">
        <v>62798</v>
      </c>
      <c r="J148" s="35">
        <v>30</v>
      </c>
      <c r="K148" s="31" t="s">
        <v>260</v>
      </c>
      <c r="L148" s="32" t="str">
        <f t="shared" si="13"/>
        <v>Active</v>
      </c>
      <c r="M148" s="32" t="str">
        <f t="shared" ca="1" si="15"/>
        <v>10.1 Years</v>
      </c>
      <c r="N148" s="32" t="str">
        <f>VLOOKUP(J148, Lookup_Performance!$A$2:$D$6, 3, TRUE)</f>
        <v>Needs Improvement</v>
      </c>
      <c r="O148" s="34">
        <f>I148 * VLOOKUP(J148, Lookup_Performance!$A$2:$D$6, 4, TRUE)</f>
        <v>0</v>
      </c>
    </row>
    <row r="149" spans="1:15" x14ac:dyDescent="0.35">
      <c r="A149" s="24" t="s">
        <v>239</v>
      </c>
      <c r="B149" s="25" t="s">
        <v>9</v>
      </c>
      <c r="C149" s="25" t="s">
        <v>20</v>
      </c>
      <c r="D149" s="26" t="str">
        <f t="shared" si="14"/>
        <v>Emily Martinez</v>
      </c>
      <c r="E149" s="26" t="s">
        <v>28</v>
      </c>
      <c r="F149" s="27">
        <v>44711</v>
      </c>
      <c r="G149" s="27" t="str">
        <f>VLOOKUP(E149, Lookup_Departments!$A$2:$B$7, 2, FALSE)</f>
        <v>Operations</v>
      </c>
      <c r="H149" s="27">
        <f t="shared" si="12"/>
        <v>44711</v>
      </c>
      <c r="I149" s="28">
        <v>47794</v>
      </c>
      <c r="J149" s="29">
        <v>73</v>
      </c>
      <c r="K149" s="25" t="s">
        <v>261</v>
      </c>
      <c r="L149" s="26" t="str">
        <f t="shared" si="13"/>
        <v>Left</v>
      </c>
      <c r="M149" s="26" t="str">
        <f t="shared" ca="1" si="15"/>
        <v>4.1 Years</v>
      </c>
      <c r="N149" s="26" t="str">
        <f>VLOOKUP(J149, Lookup_Performance!$A$2:$D$6, 3, TRUE)</f>
        <v>Achieving</v>
      </c>
      <c r="O149" s="28">
        <f>I149 * VLOOKUP(J149, Lookup_Performance!$A$2:$D$6, 4, TRUE)</f>
        <v>2389.7000000000003</v>
      </c>
    </row>
    <row r="150" spans="1:15" x14ac:dyDescent="0.35">
      <c r="A150" s="30" t="s">
        <v>240</v>
      </c>
      <c r="B150" s="31" t="s">
        <v>53</v>
      </c>
      <c r="C150" s="31" t="s">
        <v>34</v>
      </c>
      <c r="D150" s="32" t="str">
        <f t="shared" si="14"/>
        <v>James Rodriguez</v>
      </c>
      <c r="E150" s="32" t="s">
        <v>15</v>
      </c>
      <c r="F150" s="33" t="s">
        <v>241</v>
      </c>
      <c r="G150" s="33" t="str">
        <f>VLOOKUP(E150, Lookup_Departments!$A$2:$B$7, 2, FALSE)</f>
        <v>Marketing</v>
      </c>
      <c r="H150" s="33">
        <f t="shared" si="12"/>
        <v>42677</v>
      </c>
      <c r="I150" s="34">
        <v>93094</v>
      </c>
      <c r="J150" s="35">
        <v>74</v>
      </c>
      <c r="K150" s="31" t="s">
        <v>38</v>
      </c>
      <c r="L150" s="32" t="str">
        <f t="shared" si="13"/>
        <v>Active</v>
      </c>
      <c r="M150" s="32" t="str">
        <f t="shared" ca="1" si="15"/>
        <v>9.67 Years</v>
      </c>
      <c r="N150" s="32" t="str">
        <f>VLOOKUP(J150, Lookup_Performance!$A$2:$D$6, 3, TRUE)</f>
        <v>Achieving</v>
      </c>
      <c r="O150" s="34">
        <f>I150 * VLOOKUP(J150, Lookup_Performance!$A$2:$D$6, 4, TRUE)</f>
        <v>4654.7</v>
      </c>
    </row>
    <row r="151" spans="1:15" x14ac:dyDescent="0.35">
      <c r="A151" s="24" t="s">
        <v>242</v>
      </c>
      <c r="B151" s="25" t="s">
        <v>58</v>
      </c>
      <c r="C151" s="25" t="s">
        <v>10</v>
      </c>
      <c r="D151" s="26" t="str">
        <f t="shared" si="14"/>
        <v>Amanda Brown</v>
      </c>
      <c r="E151" s="26" t="s">
        <v>11</v>
      </c>
      <c r="F151" s="27">
        <v>44848</v>
      </c>
      <c r="G151" s="27" t="str">
        <f>VLOOKUP(E151, Lookup_Departments!$A$2:$B$7, 2, FALSE)</f>
        <v>Information Technology</v>
      </c>
      <c r="H151" s="27">
        <f t="shared" si="12"/>
        <v>44848</v>
      </c>
      <c r="I151" s="28">
        <v>118634</v>
      </c>
      <c r="J151" s="29">
        <v>91</v>
      </c>
      <c r="K151" s="25" t="s">
        <v>260</v>
      </c>
      <c r="L151" s="26" t="str">
        <f t="shared" si="13"/>
        <v>Active</v>
      </c>
      <c r="M151" s="26" t="str">
        <f t="shared" ca="1" si="15"/>
        <v>3.72 Years</v>
      </c>
      <c r="N151" s="26" t="str">
        <f>VLOOKUP(J151, Lookup_Performance!$A$2:$D$6, 3, TRUE)</f>
        <v>Exceeding</v>
      </c>
      <c r="O151" s="28">
        <f>I151 * VLOOKUP(J151, Lookup_Performance!$A$2:$D$6, 4, TRUE)</f>
        <v>9490.7199999999993</v>
      </c>
    </row>
    <row r="152" spans="1:15" x14ac:dyDescent="0.35">
      <c r="B152"/>
      <c r="C152"/>
      <c r="F152"/>
      <c r="G152"/>
      <c r="H152"/>
      <c r="I152"/>
      <c r="K152"/>
    </row>
    <row r="153" spans="1:15" x14ac:dyDescent="0.35">
      <c r="B153"/>
      <c r="C153"/>
      <c r="F153"/>
      <c r="G153"/>
      <c r="H153"/>
      <c r="I153"/>
      <c r="K153"/>
    </row>
    <row r="154" spans="1:15" x14ac:dyDescent="0.35">
      <c r="B154"/>
      <c r="C154"/>
      <c r="F154"/>
      <c r="G154"/>
      <c r="H154"/>
      <c r="I154" s="4">
        <f>AVERAGE(I2:I151)</f>
        <v>83603.930666666623</v>
      </c>
      <c r="J154" s="6">
        <f>AVERAGE(J2:J151)</f>
        <v>68.07759999999999</v>
      </c>
      <c r="K154"/>
    </row>
    <row r="155" spans="1:15" x14ac:dyDescent="0.35">
      <c r="B155"/>
      <c r="C155"/>
      <c r="F155"/>
      <c r="G155"/>
      <c r="H155"/>
      <c r="I155"/>
      <c r="K155"/>
    </row>
    <row r="156" spans="1:15" x14ac:dyDescent="0.35">
      <c r="B156"/>
      <c r="C156"/>
      <c r="F156"/>
      <c r="G156"/>
      <c r="H156"/>
      <c r="I156"/>
      <c r="K156"/>
    </row>
    <row r="157" spans="1:15" x14ac:dyDescent="0.35">
      <c r="B157"/>
      <c r="C157"/>
      <c r="F157"/>
      <c r="G157"/>
      <c r="H157"/>
      <c r="I157"/>
      <c r="K157"/>
    </row>
    <row r="158" spans="1:15" x14ac:dyDescent="0.35">
      <c r="B158"/>
      <c r="C158"/>
      <c r="F158"/>
      <c r="G158"/>
      <c r="H158"/>
      <c r="I158"/>
      <c r="K158"/>
    </row>
  </sheetData>
  <conditionalFormatting sqref="A1:A151 A159:A1048576">
    <cfRule type="duplicateValues" dxfId="54"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7"/>
  <sheetViews>
    <sheetView workbookViewId="0"/>
  </sheetViews>
  <sheetFormatPr defaultRowHeight="14.5" x14ac:dyDescent="0.35"/>
  <sheetData>
    <row r="1" spans="1:2" x14ac:dyDescent="0.35">
      <c r="A1" s="1" t="s">
        <v>243</v>
      </c>
      <c r="B1" s="1" t="s">
        <v>244</v>
      </c>
    </row>
    <row r="2" spans="1:2" x14ac:dyDescent="0.35">
      <c r="A2" t="s">
        <v>78</v>
      </c>
      <c r="B2" t="s">
        <v>245</v>
      </c>
    </row>
    <row r="3" spans="1:2" x14ac:dyDescent="0.35">
      <c r="A3" t="s">
        <v>11</v>
      </c>
      <c r="B3" t="s">
        <v>246</v>
      </c>
    </row>
    <row r="4" spans="1:2" x14ac:dyDescent="0.35">
      <c r="A4" t="s">
        <v>21</v>
      </c>
      <c r="B4" t="s">
        <v>247</v>
      </c>
    </row>
    <row r="5" spans="1:2" x14ac:dyDescent="0.35">
      <c r="A5" t="s">
        <v>15</v>
      </c>
      <c r="B5" t="s">
        <v>248</v>
      </c>
    </row>
    <row r="6" spans="1:2" x14ac:dyDescent="0.35">
      <c r="A6" t="s">
        <v>37</v>
      </c>
      <c r="B6" t="s">
        <v>249</v>
      </c>
    </row>
    <row r="7" spans="1:2" x14ac:dyDescent="0.35">
      <c r="A7" t="s">
        <v>28</v>
      </c>
      <c r="B7" t="s">
        <v>250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6"/>
  <sheetViews>
    <sheetView workbookViewId="0">
      <selection activeCell="B2" sqref="B2:C6"/>
    </sheetView>
  </sheetViews>
  <sheetFormatPr defaultRowHeight="14.5" x14ac:dyDescent="0.35"/>
  <cols>
    <col min="1" max="1" width="9.6328125" bestFit="1" customWidth="1"/>
    <col min="2" max="2" width="10" bestFit="1" customWidth="1"/>
    <col min="3" max="3" width="18" bestFit="1" customWidth="1"/>
    <col min="4" max="4" width="16.453125" bestFit="1" customWidth="1"/>
  </cols>
  <sheetData>
    <row r="1" spans="1:4" x14ac:dyDescent="0.35">
      <c r="A1" s="1" t="s">
        <v>251</v>
      </c>
      <c r="B1" s="1" t="s">
        <v>252</v>
      </c>
      <c r="C1" s="1" t="s">
        <v>253</v>
      </c>
      <c r="D1" s="1" t="s">
        <v>254</v>
      </c>
    </row>
    <row r="2" spans="1:4" x14ac:dyDescent="0.35">
      <c r="A2">
        <v>0</v>
      </c>
      <c r="B2">
        <v>49</v>
      </c>
      <c r="C2" t="s">
        <v>255</v>
      </c>
      <c r="D2">
        <v>0</v>
      </c>
    </row>
    <row r="3" spans="1:4" x14ac:dyDescent="0.35">
      <c r="A3">
        <v>50</v>
      </c>
      <c r="B3">
        <v>69</v>
      </c>
      <c r="C3" t="s">
        <v>256</v>
      </c>
      <c r="D3">
        <v>0.02</v>
      </c>
    </row>
    <row r="4" spans="1:4" x14ac:dyDescent="0.35">
      <c r="A4">
        <v>70</v>
      </c>
      <c r="B4">
        <v>84</v>
      </c>
      <c r="C4" t="s">
        <v>257</v>
      </c>
      <c r="D4">
        <v>0.05</v>
      </c>
    </row>
    <row r="5" spans="1:4" x14ac:dyDescent="0.35">
      <c r="A5">
        <v>85</v>
      </c>
      <c r="B5">
        <v>94</v>
      </c>
      <c r="C5" t="s">
        <v>258</v>
      </c>
      <c r="D5">
        <v>0.08</v>
      </c>
    </row>
    <row r="6" spans="1:4" x14ac:dyDescent="0.35">
      <c r="A6">
        <v>95</v>
      </c>
      <c r="B6">
        <v>100</v>
      </c>
      <c r="C6" t="s">
        <v>259</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7862-07F8-4DAA-A877-DD99F465F03E}">
  <sheetPr codeName="Sheet4"/>
  <dimension ref="A2:K54"/>
  <sheetViews>
    <sheetView zoomScaleNormal="100" workbookViewId="0">
      <selection activeCell="H43" sqref="H43"/>
    </sheetView>
  </sheetViews>
  <sheetFormatPr defaultRowHeight="14.5" x14ac:dyDescent="0.35"/>
  <cols>
    <col min="1" max="1" width="18" bestFit="1" customWidth="1"/>
    <col min="2" max="2" width="26.1796875" bestFit="1" customWidth="1"/>
    <col min="3" max="3" width="15.26953125" bestFit="1" customWidth="1"/>
    <col min="4" max="4" width="8.26953125" bestFit="1" customWidth="1"/>
    <col min="5" max="5" width="10.7265625" bestFit="1" customWidth="1"/>
    <col min="6" max="6" width="14.6328125" bestFit="1" customWidth="1"/>
    <col min="7" max="7" width="13.36328125" bestFit="1" customWidth="1"/>
    <col min="8" max="8" width="15.26953125" bestFit="1" customWidth="1"/>
    <col min="9" max="9" width="12.36328125" bestFit="1" customWidth="1"/>
    <col min="10" max="10" width="14.6328125" bestFit="1" customWidth="1"/>
    <col min="11" max="11" width="26.1796875" bestFit="1" customWidth="1"/>
    <col min="12" max="12" width="15.26953125" bestFit="1" customWidth="1"/>
    <col min="13" max="13" width="10.81640625" bestFit="1" customWidth="1"/>
    <col min="14" max="16" width="9.90625" bestFit="1" customWidth="1"/>
    <col min="17" max="17" width="19.453125" bestFit="1" customWidth="1"/>
    <col min="18" max="18" width="17" bestFit="1" customWidth="1"/>
    <col min="19" max="19" width="20.08984375" bestFit="1" customWidth="1"/>
  </cols>
  <sheetData>
    <row r="2" spans="1:10" x14ac:dyDescent="0.35">
      <c r="A2" t="s">
        <v>284</v>
      </c>
    </row>
    <row r="3" spans="1:10" x14ac:dyDescent="0.35">
      <c r="A3" s="7" t="s">
        <v>269</v>
      </c>
      <c r="B3" t="s">
        <v>272</v>
      </c>
      <c r="C3" t="s">
        <v>273</v>
      </c>
      <c r="F3" t="s">
        <v>272</v>
      </c>
      <c r="G3" t="s">
        <v>271</v>
      </c>
      <c r="H3" t="s">
        <v>273</v>
      </c>
      <c r="I3" t="s">
        <v>276</v>
      </c>
      <c r="J3" t="s">
        <v>277</v>
      </c>
    </row>
    <row r="4" spans="1:10" x14ac:dyDescent="0.35">
      <c r="A4" s="8" t="s">
        <v>247</v>
      </c>
      <c r="B4" s="39">
        <v>17</v>
      </c>
      <c r="C4" s="4">
        <v>87173.575882352932</v>
      </c>
      <c r="F4" s="39">
        <v>150</v>
      </c>
      <c r="G4" s="4">
        <v>12540589.599999994</v>
      </c>
      <c r="H4" s="4">
        <v>83603.930666666623</v>
      </c>
      <c r="I4" s="6">
        <v>68.07759999999999</v>
      </c>
      <c r="J4" s="37">
        <v>486911.14170000009</v>
      </c>
    </row>
    <row r="5" spans="1:10" x14ac:dyDescent="0.35">
      <c r="A5" s="8" t="s">
        <v>245</v>
      </c>
      <c r="B5" s="39">
        <v>18</v>
      </c>
      <c r="C5" s="4">
        <v>85536.273888888885</v>
      </c>
    </row>
    <row r="6" spans="1:10" x14ac:dyDescent="0.35">
      <c r="A6" s="8" t="s">
        <v>246</v>
      </c>
      <c r="B6" s="39">
        <v>36</v>
      </c>
      <c r="C6" s="4">
        <v>80512.823611111118</v>
      </c>
    </row>
    <row r="7" spans="1:10" x14ac:dyDescent="0.35">
      <c r="A7" s="8" t="s">
        <v>248</v>
      </c>
      <c r="B7" s="39">
        <v>19</v>
      </c>
      <c r="C7" s="4">
        <v>85407.943684210521</v>
      </c>
    </row>
    <row r="8" spans="1:10" x14ac:dyDescent="0.35">
      <c r="A8" s="8" t="s">
        <v>250</v>
      </c>
      <c r="B8" s="39">
        <v>29</v>
      </c>
      <c r="C8" s="4">
        <v>80049.926206896547</v>
      </c>
      <c r="I8" s="7" t="s">
        <v>269</v>
      </c>
      <c r="J8" t="s">
        <v>272</v>
      </c>
    </row>
    <row r="9" spans="1:10" x14ac:dyDescent="0.35">
      <c r="A9" s="8" t="s">
        <v>249</v>
      </c>
      <c r="B9" s="39">
        <v>31</v>
      </c>
      <c r="C9" s="4">
        <v>86333.078709677429</v>
      </c>
      <c r="I9" s="8" t="s">
        <v>38</v>
      </c>
      <c r="J9" s="39">
        <v>116</v>
      </c>
    </row>
    <row r="10" spans="1:10" x14ac:dyDescent="0.35">
      <c r="A10" s="8" t="s">
        <v>270</v>
      </c>
      <c r="B10" s="39">
        <v>150</v>
      </c>
      <c r="C10" s="4">
        <v>83603.930666666638</v>
      </c>
      <c r="I10" s="8" t="s">
        <v>25</v>
      </c>
      <c r="J10" s="39">
        <v>24</v>
      </c>
    </row>
    <row r="11" spans="1:10" x14ac:dyDescent="0.35">
      <c r="I11" s="8" t="s">
        <v>95</v>
      </c>
      <c r="J11" s="39">
        <v>10</v>
      </c>
    </row>
    <row r="12" spans="1:10" x14ac:dyDescent="0.35">
      <c r="I12" s="8" t="s">
        <v>270</v>
      </c>
      <c r="J12" s="39">
        <v>150</v>
      </c>
    </row>
    <row r="14" spans="1:10" x14ac:dyDescent="0.35">
      <c r="A14" t="s">
        <v>285</v>
      </c>
    </row>
    <row r="15" spans="1:10" x14ac:dyDescent="0.35">
      <c r="A15" s="7" t="s">
        <v>272</v>
      </c>
      <c r="B15" s="7" t="s">
        <v>274</v>
      </c>
    </row>
    <row r="16" spans="1:10" x14ac:dyDescent="0.35">
      <c r="A16" s="7" t="s">
        <v>269</v>
      </c>
      <c r="B16" t="s">
        <v>38</v>
      </c>
      <c r="C16" t="s">
        <v>25</v>
      </c>
      <c r="D16" t="s">
        <v>95</v>
      </c>
      <c r="E16" t="s">
        <v>270</v>
      </c>
      <c r="F16" s="5" t="s">
        <v>275</v>
      </c>
    </row>
    <row r="17" spans="1:11" x14ac:dyDescent="0.35">
      <c r="A17" s="8" t="s">
        <v>247</v>
      </c>
      <c r="B17" s="39">
        <v>14</v>
      </c>
      <c r="C17" s="39">
        <v>3</v>
      </c>
      <c r="D17" s="39"/>
      <c r="E17" s="39">
        <v>17</v>
      </c>
      <c r="F17" s="36">
        <f xml:space="preserve"> C17/E17</f>
        <v>0.17647058823529413</v>
      </c>
    </row>
    <row r="18" spans="1:11" x14ac:dyDescent="0.35">
      <c r="A18" s="8" t="s">
        <v>245</v>
      </c>
      <c r="B18" s="39">
        <v>15</v>
      </c>
      <c r="C18" s="39">
        <v>2</v>
      </c>
      <c r="D18" s="39">
        <v>1</v>
      </c>
      <c r="E18" s="39">
        <v>18</v>
      </c>
      <c r="F18" s="36">
        <f t="shared" ref="F18:F22" si="0" xml:space="preserve"> C18/E18</f>
        <v>0.1111111111111111</v>
      </c>
    </row>
    <row r="19" spans="1:11" x14ac:dyDescent="0.35">
      <c r="A19" s="8" t="s">
        <v>246</v>
      </c>
      <c r="B19" s="39">
        <v>28</v>
      </c>
      <c r="C19" s="39">
        <v>6</v>
      </c>
      <c r="D19" s="39">
        <v>2</v>
      </c>
      <c r="E19" s="39">
        <v>36</v>
      </c>
      <c r="F19" s="36">
        <f t="shared" si="0"/>
        <v>0.16666666666666666</v>
      </c>
    </row>
    <row r="20" spans="1:11" x14ac:dyDescent="0.35">
      <c r="A20" s="8" t="s">
        <v>248</v>
      </c>
      <c r="B20" s="39">
        <v>16</v>
      </c>
      <c r="C20" s="39">
        <v>3</v>
      </c>
      <c r="D20" s="39"/>
      <c r="E20" s="39">
        <v>19</v>
      </c>
      <c r="F20" s="36">
        <f t="shared" si="0"/>
        <v>0.15789473684210525</v>
      </c>
      <c r="H20" t="s">
        <v>292</v>
      </c>
      <c r="I20">
        <f>A60</f>
        <v>0</v>
      </c>
    </row>
    <row r="21" spans="1:11" x14ac:dyDescent="0.35">
      <c r="A21" s="8" t="s">
        <v>250</v>
      </c>
      <c r="B21" s="39">
        <v>18</v>
      </c>
      <c r="C21" s="39">
        <v>6</v>
      </c>
      <c r="D21" s="39">
        <v>5</v>
      </c>
      <c r="E21" s="39">
        <v>29</v>
      </c>
      <c r="F21" s="36">
        <f t="shared" si="0"/>
        <v>0.20689655172413793</v>
      </c>
      <c r="H21" t="s">
        <v>275</v>
      </c>
      <c r="I21" s="38">
        <f>K39</f>
        <v>0.2160188243151081</v>
      </c>
    </row>
    <row r="22" spans="1:11" x14ac:dyDescent="0.35">
      <c r="A22" s="8" t="s">
        <v>249</v>
      </c>
      <c r="B22" s="39">
        <v>25</v>
      </c>
      <c r="C22" s="39">
        <v>4</v>
      </c>
      <c r="D22" s="39">
        <v>2</v>
      </c>
      <c r="E22" s="39">
        <v>31</v>
      </c>
      <c r="F22" s="36">
        <f t="shared" si="0"/>
        <v>0.12903225806451613</v>
      </c>
      <c r="H22" t="s">
        <v>288</v>
      </c>
      <c r="I22">
        <f>J9</f>
        <v>116</v>
      </c>
    </row>
    <row r="23" spans="1:11" x14ac:dyDescent="0.35">
      <c r="A23" s="8" t="s">
        <v>270</v>
      </c>
      <c r="B23" s="39">
        <v>116</v>
      </c>
      <c r="C23" s="39">
        <v>24</v>
      </c>
      <c r="D23" s="39">
        <v>10</v>
      </c>
      <c r="E23" s="39">
        <v>150</v>
      </c>
      <c r="F23" s="36">
        <f xml:space="preserve"> AVERAGE(F17:F22)</f>
        <v>0.15801198544063852</v>
      </c>
      <c r="H23" t="s">
        <v>289</v>
      </c>
      <c r="I23">
        <f>J10</f>
        <v>24</v>
      </c>
    </row>
    <row r="24" spans="1:11" x14ac:dyDescent="0.35">
      <c r="H24" t="s">
        <v>290</v>
      </c>
      <c r="I24">
        <f>J11</f>
        <v>10</v>
      </c>
    </row>
    <row r="25" spans="1:11" x14ac:dyDescent="0.35">
      <c r="H25" t="s">
        <v>278</v>
      </c>
      <c r="I25">
        <f>F4</f>
        <v>150</v>
      </c>
    </row>
    <row r="26" spans="1:11" x14ac:dyDescent="0.35">
      <c r="H26" t="s">
        <v>279</v>
      </c>
      <c r="I26" s="37">
        <f>G4</f>
        <v>12540589.599999994</v>
      </c>
    </row>
    <row r="27" spans="1:11" x14ac:dyDescent="0.35">
      <c r="A27" t="s">
        <v>286</v>
      </c>
      <c r="H27" t="s">
        <v>280</v>
      </c>
      <c r="I27" s="37">
        <f>H4</f>
        <v>83603.930666666623</v>
      </c>
    </row>
    <row r="28" spans="1:11" x14ac:dyDescent="0.35">
      <c r="A28" s="7" t="s">
        <v>269</v>
      </c>
      <c r="B28" t="s">
        <v>276</v>
      </c>
      <c r="H28" t="s">
        <v>281</v>
      </c>
      <c r="I28" s="6">
        <f>I4</f>
        <v>68.07759999999999</v>
      </c>
    </row>
    <row r="29" spans="1:11" x14ac:dyDescent="0.35">
      <c r="A29" s="8" t="s">
        <v>38</v>
      </c>
      <c r="B29" s="6">
        <v>67.746206896551726</v>
      </c>
      <c r="H29" t="s">
        <v>282</v>
      </c>
      <c r="I29" s="37">
        <f>J4</f>
        <v>486911.14170000009</v>
      </c>
    </row>
    <row r="30" spans="1:11" x14ac:dyDescent="0.35">
      <c r="A30" s="8" t="s">
        <v>25</v>
      </c>
      <c r="B30" s="6">
        <v>66.211666666666659</v>
      </c>
    </row>
    <row r="31" spans="1:11" x14ac:dyDescent="0.35">
      <c r="A31" s="8" t="s">
        <v>95</v>
      </c>
      <c r="B31" s="6">
        <v>76.400000000000006</v>
      </c>
    </row>
    <row r="32" spans="1:11" x14ac:dyDescent="0.35">
      <c r="A32" s="8" t="s">
        <v>270</v>
      </c>
      <c r="B32" s="6">
        <v>68.07759999999999</v>
      </c>
      <c r="H32" t="s">
        <v>283</v>
      </c>
      <c r="I32" t="s">
        <v>291</v>
      </c>
      <c r="J32" t="s">
        <v>270</v>
      </c>
      <c r="K32" s="5" t="s">
        <v>275</v>
      </c>
    </row>
    <row r="33" spans="1:11" x14ac:dyDescent="0.35">
      <c r="H33" s="8" t="s">
        <v>247</v>
      </c>
      <c r="I33">
        <f>SUM(C17:D17)</f>
        <v>3</v>
      </c>
      <c r="J33">
        <v>17</v>
      </c>
      <c r="K33" s="36">
        <f t="shared" ref="K33:K38" si="1" xml:space="preserve"> I33/J33</f>
        <v>0.17647058823529413</v>
      </c>
    </row>
    <row r="34" spans="1:11" x14ac:dyDescent="0.35">
      <c r="H34" s="8" t="s">
        <v>245</v>
      </c>
      <c r="I34">
        <f t="shared" ref="I34:I38" si="2">SUM(C18:D18)</f>
        <v>3</v>
      </c>
      <c r="J34">
        <v>18</v>
      </c>
      <c r="K34" s="36">
        <f t="shared" si="1"/>
        <v>0.16666666666666666</v>
      </c>
    </row>
    <row r="35" spans="1:11" x14ac:dyDescent="0.35">
      <c r="H35" s="8" t="s">
        <v>246</v>
      </c>
      <c r="I35">
        <f t="shared" si="2"/>
        <v>8</v>
      </c>
      <c r="J35">
        <v>36</v>
      </c>
      <c r="K35" s="36">
        <f t="shared" si="1"/>
        <v>0.22222222222222221</v>
      </c>
    </row>
    <row r="36" spans="1:11" x14ac:dyDescent="0.35">
      <c r="A36" t="s">
        <v>287</v>
      </c>
      <c r="H36" s="8" t="s">
        <v>248</v>
      </c>
      <c r="I36">
        <f t="shared" si="2"/>
        <v>3</v>
      </c>
      <c r="J36">
        <v>19</v>
      </c>
      <c r="K36" s="36">
        <f t="shared" si="1"/>
        <v>0.15789473684210525</v>
      </c>
    </row>
    <row r="37" spans="1:11" x14ac:dyDescent="0.35">
      <c r="A37" s="7" t="s">
        <v>269</v>
      </c>
      <c r="B37" t="s">
        <v>277</v>
      </c>
      <c r="H37" s="8" t="s">
        <v>250</v>
      </c>
      <c r="I37">
        <f t="shared" si="2"/>
        <v>11</v>
      </c>
      <c r="J37">
        <v>29</v>
      </c>
      <c r="K37" s="36">
        <f t="shared" si="1"/>
        <v>0.37931034482758619</v>
      </c>
    </row>
    <row r="38" spans="1:11" x14ac:dyDescent="0.35">
      <c r="A38" s="8" t="s">
        <v>257</v>
      </c>
      <c r="B38" s="37">
        <v>165216.93250000002</v>
      </c>
      <c r="H38" s="8" t="s">
        <v>249</v>
      </c>
      <c r="I38">
        <f t="shared" si="2"/>
        <v>6</v>
      </c>
      <c r="J38">
        <v>31</v>
      </c>
      <c r="K38" s="36">
        <f t="shared" si="1"/>
        <v>0.19354838709677419</v>
      </c>
    </row>
    <row r="39" spans="1:11" x14ac:dyDescent="0.35">
      <c r="A39" s="8" t="s">
        <v>256</v>
      </c>
      <c r="B39" s="37">
        <v>84593.268800000005</v>
      </c>
      <c r="H39" s="8"/>
      <c r="K39" s="36">
        <f>AVERAGE(Table3[Attrition Rate])</f>
        <v>0.2160188243151081</v>
      </c>
    </row>
    <row r="40" spans="1:11" x14ac:dyDescent="0.35">
      <c r="A40" s="8" t="s">
        <v>258</v>
      </c>
      <c r="B40" s="37">
        <v>144689.42879999999</v>
      </c>
    </row>
    <row r="41" spans="1:11" x14ac:dyDescent="0.35">
      <c r="A41" s="8" t="s">
        <v>255</v>
      </c>
      <c r="B41" s="37">
        <v>0</v>
      </c>
    </row>
    <row r="42" spans="1:11" x14ac:dyDescent="0.35">
      <c r="A42" s="8" t="s">
        <v>259</v>
      </c>
      <c r="B42" s="37">
        <v>92411.511600000013</v>
      </c>
    </row>
    <row r="43" spans="1:11" x14ac:dyDescent="0.35">
      <c r="A43" s="8" t="s">
        <v>270</v>
      </c>
      <c r="B43" s="37">
        <v>486911.14170000004</v>
      </c>
    </row>
    <row r="47" spans="1:11" x14ac:dyDescent="0.35">
      <c r="A47" s="7" t="s">
        <v>269</v>
      </c>
      <c r="B47" t="s">
        <v>271</v>
      </c>
      <c r="D47" s="7" t="s">
        <v>269</v>
      </c>
      <c r="E47" t="s">
        <v>272</v>
      </c>
      <c r="G47" s="7" t="s">
        <v>269</v>
      </c>
      <c r="H47" t="s">
        <v>273</v>
      </c>
    </row>
    <row r="48" spans="1:11" x14ac:dyDescent="0.35">
      <c r="A48" s="8" t="s">
        <v>247</v>
      </c>
      <c r="B48" s="4">
        <v>1481950.7899999998</v>
      </c>
      <c r="D48" s="8" t="s">
        <v>247</v>
      </c>
      <c r="E48" s="39">
        <v>17</v>
      </c>
      <c r="G48" s="8" t="s">
        <v>247</v>
      </c>
      <c r="H48" s="37">
        <v>87173.575882352932</v>
      </c>
    </row>
    <row r="49" spans="1:8" x14ac:dyDescent="0.35">
      <c r="A49" s="8" t="s">
        <v>245</v>
      </c>
      <c r="B49" s="4">
        <v>1539652.93</v>
      </c>
      <c r="D49" s="8" t="s">
        <v>245</v>
      </c>
      <c r="E49" s="39">
        <v>18</v>
      </c>
      <c r="G49" s="8" t="s">
        <v>245</v>
      </c>
      <c r="H49" s="37">
        <v>85536.273888888885</v>
      </c>
    </row>
    <row r="50" spans="1:8" x14ac:dyDescent="0.35">
      <c r="A50" s="8" t="s">
        <v>246</v>
      </c>
      <c r="B50" s="4">
        <v>2898461.6500000004</v>
      </c>
      <c r="D50" s="8" t="s">
        <v>246</v>
      </c>
      <c r="E50" s="39">
        <v>36</v>
      </c>
      <c r="G50" s="8" t="s">
        <v>246</v>
      </c>
      <c r="H50" s="37">
        <v>80512.823611111118</v>
      </c>
    </row>
    <row r="51" spans="1:8" x14ac:dyDescent="0.35">
      <c r="A51" s="8" t="s">
        <v>248</v>
      </c>
      <c r="B51" s="4">
        <v>1622750.93</v>
      </c>
      <c r="D51" s="8" t="s">
        <v>248</v>
      </c>
      <c r="E51" s="39">
        <v>19</v>
      </c>
      <c r="G51" s="8" t="s">
        <v>248</v>
      </c>
      <c r="H51" s="37">
        <v>85407.943684210521</v>
      </c>
    </row>
    <row r="52" spans="1:8" x14ac:dyDescent="0.35">
      <c r="A52" s="8" t="s">
        <v>250</v>
      </c>
      <c r="B52" s="4">
        <v>2321447.86</v>
      </c>
      <c r="D52" s="8" t="s">
        <v>250</v>
      </c>
      <c r="E52" s="39">
        <v>29</v>
      </c>
      <c r="G52" s="8" t="s">
        <v>250</v>
      </c>
      <c r="H52" s="37">
        <v>80049.926206896547</v>
      </c>
    </row>
    <row r="53" spans="1:8" x14ac:dyDescent="0.35">
      <c r="A53" s="8" t="s">
        <v>249</v>
      </c>
      <c r="B53" s="4">
        <v>2676325.4400000004</v>
      </c>
      <c r="D53" s="8" t="s">
        <v>249</v>
      </c>
      <c r="E53" s="39">
        <v>31</v>
      </c>
      <c r="G53" s="8" t="s">
        <v>249</v>
      </c>
      <c r="H53" s="37">
        <v>86333.078709677429</v>
      </c>
    </row>
    <row r="54" spans="1:8" x14ac:dyDescent="0.35">
      <c r="A54" s="8" t="s">
        <v>270</v>
      </c>
      <c r="B54" s="4">
        <v>12540589.600000001</v>
      </c>
      <c r="D54" s="8" t="s">
        <v>270</v>
      </c>
      <c r="E54" s="39">
        <v>150</v>
      </c>
      <c r="G54" s="8" t="s">
        <v>270</v>
      </c>
      <c r="H54" s="37">
        <v>83603.930666666638</v>
      </c>
    </row>
  </sheetData>
  <pageMargins left="0.7" right="0.7" top="0.75" bottom="0.75" header="0.3" footer="0.3"/>
  <tableParts count="1">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1D4F-35A6-482C-9763-98A2985989C9}">
  <sheetPr codeName="Sheet6"/>
  <dimension ref="A1"/>
  <sheetViews>
    <sheetView showGridLines="0" zoomScale="70" zoomScaleNormal="70" workbookViewId="0">
      <selection activeCell="AB26" sqref="AB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Raw_Employee_Data</vt:lpstr>
      <vt:lpstr>Lookup_Departments</vt:lpstr>
      <vt:lpstr>Lookup_Performance</vt:lpstr>
      <vt:lpstr>Analysis1</vt:lpstr>
      <vt:lpstr>HR Dashboard</vt:lpstr>
      <vt:lpstr>activeemp</vt:lpstr>
      <vt:lpstr>attriterate</vt:lpstr>
      <vt:lpstr>attritionrate</vt:lpstr>
      <vt:lpstr>Avgsalary</vt:lpstr>
      <vt:lpstr>avgscore</vt:lpstr>
      <vt:lpstr>Deptnum</vt:lpstr>
      <vt:lpstr>leftemp</vt:lpstr>
      <vt:lpstr>resignemp</vt:lpstr>
      <vt:lpstr>sumbonus</vt:lpstr>
      <vt:lpstr>Totalemp</vt:lpstr>
      <vt:lpstr>Totalsalary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2026-06-04T20:20:01Z</dcterms:created>
  <dcterms:modified xsi:type="dcterms:W3CDTF">2026-07-06T12:39:26Z</dcterms:modified>
</cp:coreProperties>
</file>